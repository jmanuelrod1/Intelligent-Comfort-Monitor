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ntt" sheetId="1" r:id="rId5"/>
    <sheet state="visible" name="Recursos" sheetId="2" r:id="rId6"/>
  </sheets>
  <definedNames/>
  <calcPr/>
</workbook>
</file>

<file path=xl/sharedStrings.xml><?xml version="1.0" encoding="utf-8"?>
<sst xmlns="http://schemas.openxmlformats.org/spreadsheetml/2006/main" count="289" uniqueCount="199">
  <si>
    <t>Recursos y herramientas del proyecto</t>
  </si>
  <si>
    <t>Diagrama de Gantt — Monitor Inteligente de Confort para Espacios de Entrenamiento</t>
  </si>
  <si>
    <t>Sensores e Instrumentación 2026-2 · Universidad de La Sabana · Proyecto: Sistema inteligente de monitoreo de condiciones ambientales</t>
  </si>
  <si>
    <t>Inicio del proyecto (lunes semana 1):</t>
  </si>
  <si>
    <t>Tipo</t>
  </si>
  <si>
    <t>Recurso</t>
  </si>
  <si>
    <t>Uso en el proyecto</t>
  </si>
  <si>
    <t>Cantidad</t>
  </si>
  <si>
    <t>Hardware</t>
  </si>
  <si>
    <t>ESP32-S3</t>
  </si>
  <si>
    <t>Avance total:</t>
  </si>
  <si>
    <t>Unidad de control, lectura I2C y procesamiento</t>
  </si>
  <si>
    <t>Módulo AHT20 + BMP280</t>
  </si>
  <si>
    <t>Temperatura, humedad relativa y presión</t>
  </si>
  <si>
    <t>Sensor de luz BH1750</t>
  </si>
  <si>
    <t>Iluminancia del espacio (lx)</t>
  </si>
  <si>
    <t>Sensor táctil TTP223</t>
  </si>
  <si>
    <t>Cambio de modo de entreno</t>
  </si>
  <si>
    <t>Pantalla TFT 2,4" táctil</t>
  </si>
  <si>
    <t>Visualización de mediciones e índice de confort</t>
  </si>
  <si>
    <t>74HCT245</t>
  </si>
  <si>
    <t>Conversión de nivel lógico 3,3 V ↔ 5 V para la pantalla</t>
  </si>
  <si>
    <t>Celda 18650 + módulo TP4056 con boost</t>
  </si>
  <si>
    <t>Alimentación portátil a 5 V con carga USB-C</t>
  </si>
  <si>
    <t>Resistencias 470 kΩ + capacitor 100 nF</t>
  </si>
  <si>
    <t>Divisor para medir el % de batería</t>
  </si>
  <si>
    <t>Servomotor SG90</t>
  </si>
  <si>
    <t>Mecanismo de despliegue</t>
  </si>
  <si>
    <t>Buzzer</t>
  </si>
  <si>
    <t>Alertas sonoras</t>
  </si>
  <si>
    <t>Protoboard y cables jumper</t>
  </si>
  <si>
    <t>Prototipado (no permitido en el prototipo final)</t>
  </si>
  <si>
    <t>PCB / baquela perforada</t>
  </si>
  <si>
    <t>Montaje del prototipo final</t>
  </si>
  <si>
    <t>Software</t>
  </si>
  <si>
    <t>Arduino IDE</t>
  </si>
  <si>
    <t>Programación del firmware del ESP32-S3</t>
  </si>
  <si>
    <t>—</t>
  </si>
  <si>
    <t>MATLAB / Simulink</t>
  </si>
  <si>
    <t>Modelamiento, acondicionamiento y simulación</t>
  </si>
  <si>
    <t>GitHub</t>
  </si>
  <si>
    <t>Repositorio de diseño electrónico y código</t>
  </si>
  <si>
    <t>Microsoft Excel</t>
  </si>
  <si>
    <t>Planeación y seguimiento (Gantt)</t>
  </si>
  <si>
    <t>Equipo de medida</t>
  </si>
  <si>
    <t>Multímetro</t>
  </si>
  <si>
    <t>Verificación de voltajes y continuidad</t>
  </si>
  <si>
    <t>ID</t>
  </si>
  <si>
    <t>Actividad</t>
  </si>
  <si>
    <t>Entregable</t>
  </si>
  <si>
    <t>Responsable</t>
  </si>
  <si>
    <t>Inicio</t>
  </si>
  <si>
    <t>Fin</t>
  </si>
  <si>
    <t>Días</t>
  </si>
  <si>
    <t>% avance</t>
  </si>
  <si>
    <t>Estado</t>
  </si>
  <si>
    <t>Sprint 1</t>
  </si>
  <si>
    <t>Sprint 2</t>
  </si>
  <si>
    <t>Sprint 3</t>
  </si>
  <si>
    <t>Sprint 4</t>
  </si>
  <si>
    <t>Sprint 5</t>
  </si>
  <si>
    <t>Sprint 6</t>
  </si>
  <si>
    <t>Sprint 7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</si>
  <si>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</si>
  <si>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</si>
  <si>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</si>
  <si>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</si>
  <si>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</si>
  <si>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</si>
  <si>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</si>
  <si>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</si>
  <si>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</si>
  <si>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</si>
  <si>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</si>
  <si>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</si>
  <si>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</si>
  <si>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</si>
  <si>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1</t>
  </si>
  <si>
    <t>PLANEACIÓN DEL PROYECTO</t>
  </si>
  <si>
    <t>F</t>
  </si>
  <si>
    <t>1.1</t>
  </si>
  <si>
    <t xml:space="preserve">   Conformación del equipo y revisión del enunciado</t>
  </si>
  <si>
    <t>Roles del equipo</t>
  </si>
  <si>
    <t>Equipo</t>
  </si>
  <si>
    <t>T</t>
  </si>
  <si>
    <t>1.2</t>
  </si>
  <si>
    <t xml:space="preserve">   Lluvia de ideas y selección del proyecto (Monitor de confort)</t>
  </si>
  <si>
    <t>Propuesta</t>
  </si>
  <si>
    <t>1.3</t>
  </si>
  <si>
    <t xml:space="preserve">   Definición de variables, requerimientos y alcance</t>
  </si>
  <si>
    <t>Requerimientos</t>
  </si>
  <si>
    <t>1.4</t>
  </si>
  <si>
    <t xml:space="preserve">   Planeación: diagrama de Gantt, recursos y herramientas</t>
  </si>
  <si>
    <t>Gantt / recursos</t>
  </si>
  <si>
    <t>2</t>
  </si>
  <si>
    <t>DISEÑO DEL SISTEMA</t>
  </si>
  <si>
    <t>2.1</t>
  </si>
  <si>
    <t xml:space="preserve">   Selección de sensores y análisis de viabilidad de componentes</t>
  </si>
  <si>
    <t>Tabla comparativa</t>
  </si>
  <si>
    <t>2.2</t>
  </si>
  <si>
    <t xml:space="preserve">   Arquitectura del sistema y diagrama de bloques</t>
  </si>
  <si>
    <t>Diagrama de bloques</t>
  </si>
  <si>
    <t>2.3</t>
  </si>
  <si>
    <t xml:space="preserve">   Lista de materiales (BOM) y compra de componentes</t>
  </si>
  <si>
    <t>BOM</t>
  </si>
  <si>
    <t>2.4</t>
  </si>
  <si>
    <t xml:space="preserve">   Diseño electrónico: conexiones I2C, pantalla y alimentación</t>
  </si>
  <si>
    <t>Esquemático</t>
  </si>
  <si>
    <t>2.5</t>
  </si>
  <si>
    <t xml:space="preserve">   Repositorio de diseño electrónico en GitHub</t>
  </si>
  <si>
    <t>Repositorio</t>
  </si>
  <si>
    <t>3</t>
  </si>
  <si>
    <t>MODELAMIENTO Y SIMULACIÓN</t>
  </si>
  <si>
    <t>3.1</t>
  </si>
  <si>
    <t xml:space="preserve">   Modelo del índice de confort (Humidex) y de hidratación</t>
  </si>
  <si>
    <t>Ecuaciones</t>
  </si>
  <si>
    <t>3.2</t>
  </si>
  <si>
    <t xml:space="preserve">   Acondicionamiento de señales T, H y L en Simulink</t>
  </si>
  <si>
    <t>Modelo Simulink</t>
  </si>
  <si>
    <t>3.3</t>
  </si>
  <si>
    <t xml:space="preserve">   Bloque algoritmo_confort (lógica de decisión del ESP32-S3)</t>
  </si>
  <si>
    <t>3.4</t>
  </si>
  <si>
    <t xml:space="preserve">   Simulación por espacios (Gimnasio, Cancha, Skatepark)</t>
  </si>
  <si>
    <t>Scope + registros</t>
  </si>
  <si>
    <t>4</t>
  </si>
  <si>
    <t>PROTOTIPO Y ADQUISICIÓN DE DATOS</t>
  </si>
  <si>
    <t>4.1</t>
  </si>
  <si>
    <t xml:space="preserve">   Montaje en protoboard: ESP32-S3 + BH1750 + AHT20/BMP280 + TTP223</t>
  </si>
  <si>
    <t>Montaje</t>
  </si>
  <si>
    <t>4.2</t>
  </si>
  <si>
    <t xml:space="preserve">   Firmware de lectura de sensores (Arduino IDE)</t>
  </si>
  <si>
    <t>Código .ino</t>
  </si>
  <si>
    <t>4.3</t>
  </si>
  <si>
    <t xml:space="preserve">   Pruebas y depuración del bus I2C</t>
  </si>
  <si>
    <t>Escáner I2C</t>
  </si>
  <si>
    <t>4.4</t>
  </si>
  <si>
    <t xml:space="preserve">   Adquisición de datos reales en tiempo real</t>
  </si>
  <si>
    <t>Lecturas serial</t>
  </si>
  <si>
    <t>5</t>
  </si>
  <si>
    <t>AVANCE — CORTE 2</t>
  </si>
  <si>
    <t>5.1</t>
  </si>
  <si>
    <t xml:space="preserve">   Informe de avance (modelamiento y adquisición de datos)</t>
  </si>
  <si>
    <t>Informe</t>
  </si>
  <si>
    <t>5.2</t>
  </si>
  <si>
    <t xml:space="preserve">   Entrega Corte 2</t>
  </si>
  <si>
    <t>Entrega</t>
  </si>
  <si>
    <t>H</t>
  </si>
  <si>
    <t>6</t>
  </si>
  <si>
    <t>INTEGRACIÓN DEL PROTOTIPO</t>
  </si>
  <si>
    <t>6.1</t>
  </si>
  <si>
    <t xml:space="preserve">   Pantalla TFT con level shifter 74HCT245</t>
  </si>
  <si>
    <t>Pantalla operativa</t>
  </si>
  <si>
    <t>6.2</t>
  </si>
  <si>
    <t xml:space="preserve">   Algoritmo de confort embebido en el ESP32-S3</t>
  </si>
  <si>
    <t>Firmware v2</t>
  </si>
  <si>
    <t>6.3</t>
  </si>
  <si>
    <t xml:space="preserve">   Interfaz gráfica y modos de entreno (touch)</t>
  </si>
  <si>
    <t>Interfaz</t>
  </si>
  <si>
    <t>6.4</t>
  </si>
  <si>
    <t xml:space="preserve">   Registro de datos (mejora opcional)</t>
  </si>
  <si>
    <t>Log de datos</t>
  </si>
  <si>
    <t>6.5</t>
  </si>
  <si>
    <t xml:space="preserve">   Alimentación: batería 18650 + TP4056/boost + % batería</t>
  </si>
  <si>
    <t>Módulo de energía</t>
  </si>
  <si>
    <t>6.6</t>
  </si>
  <si>
    <t xml:space="preserve">   Mecanismo de despliegue con servos SG90 y buzzer</t>
  </si>
  <si>
    <t>Mecanismo</t>
  </si>
  <si>
    <t>7</t>
  </si>
  <si>
    <t>PROTOTIPO FINAL Y VALIDACIÓN</t>
  </si>
  <si>
    <t>7.1</t>
  </si>
  <si>
    <t xml:space="preserve">   Diseño y fabricación de PCB / baquela (sin protoboard)</t>
  </si>
  <si>
    <t>PCB</t>
  </si>
  <si>
    <t>7.2</t>
  </si>
  <si>
    <t xml:space="preserve">   Carcasa y diseño estético</t>
  </si>
  <si>
    <t>Carcasa</t>
  </si>
  <si>
    <t>7.3</t>
  </si>
  <si>
    <t xml:space="preserve">   Ensamble final del prototipo</t>
  </si>
  <si>
    <t>Prototipo final</t>
  </si>
  <si>
    <t>7.4</t>
  </si>
  <si>
    <t xml:space="preserve">   Pruebas experimentales, calibración y análisis de errores</t>
  </si>
  <si>
    <t>Resultados</t>
  </si>
  <si>
    <t>8</t>
  </si>
  <si>
    <t>ENTREGA FINAL — CORTE 3</t>
  </si>
  <si>
    <t>8.1</t>
  </si>
  <si>
    <t xml:space="preserve">   Informe final (errores, limitaciones y mejoras)</t>
  </si>
  <si>
    <t>Informe final</t>
  </si>
  <si>
    <t>8.2</t>
  </si>
  <si>
    <t xml:space="preserve">   Nombre, marca y video promocional (máx. 1:30)</t>
  </si>
  <si>
    <t>Video</t>
  </si>
  <si>
    <t>8.3</t>
  </si>
  <si>
    <t xml:space="preserve">   Preparación de la presentación oral</t>
  </si>
  <si>
    <t>Presentación</t>
  </si>
  <si>
    <t>8.4</t>
  </si>
  <si>
    <t xml:space="preserve">   Entrega final y sustentación</t>
  </si>
  <si>
    <t>Convenciones</t>
  </si>
  <si>
    <t>Duración de la fase</t>
  </si>
  <si>
    <t>Actividad ejecutada (según % de avance)</t>
  </si>
  <si>
    <t>Actividad planeada / pendiente</t>
  </si>
  <si>
    <t>Hito de entrega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</si>
</sst>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/mm/yyyy"/>
    <numFmt numFmtId="165" formatCode="dd\-mmm"/>
    <numFmt numFmtId="166" formatCode="dd/mm/yy"/>
  </numFmts>
  <fonts count="17">
    <font>
      <sz val="11.0"/>
      <color theme="1"/>
      <name val="Calibri"/>
      <scheme val="minor"/>
    </font>
    <font>
      <b/>
      <sz val="14.0"/>
      <color rgb="FF1E3A4C"/>
      <name val="Arial"/>
    </font>
    <font>
      <sz val="9.0"/>
      <color rgb="FF5C7079"/>
      <name val="Arial"/>
    </font>
    <font>
      <b/>
      <sz val="9.0"/>
      <color theme="1"/>
      <name val="Arial"/>
    </font>
    <font>
      <b/>
      <sz val="9.0"/>
      <color rgb="FFFFFFFF"/>
      <name val="Arial"/>
    </font>
    <font>
      <b/>
      <sz val="9.0"/>
      <color rgb="FF0000FF"/>
      <name val="Arial"/>
    </font>
    <font>
      <sz val="9.0"/>
      <color theme="1"/>
      <name val="Arial"/>
    </font>
    <font>
      <b/>
      <sz val="11.0"/>
      <color rgb="FF2C8E6E"/>
      <name val="Arial"/>
    </font>
    <font/>
    <font>
      <sz val="8.0"/>
      <color rgb="FFFFFFFF"/>
      <name val="Arial"/>
    </font>
    <font>
      <b/>
      <sz val="9.0"/>
      <color rgb="FF1E3A4C"/>
      <name val="Arial"/>
    </font>
    <font>
      <sz val="11.0"/>
      <color theme="1"/>
      <name val="Calibri"/>
    </font>
    <font>
      <sz val="9.0"/>
      <color rgb="FF122029"/>
      <name val="Arial"/>
    </font>
    <font>
      <sz val="9.0"/>
      <color rgb="FF0000FF"/>
      <name val="Arial"/>
    </font>
    <font>
      <b/>
      <sz val="9.0"/>
      <color rgb="FFB3402B"/>
      <name val="Arial"/>
    </font>
    <font>
      <b/>
      <sz val="10.0"/>
      <color rgb="FF1E3A4C"/>
      <name val="Arial"/>
    </font>
    <font>
      <sz val="9.0"/>
      <color rgb="FF3A4A52"/>
      <name val="Arial"/>
    </font>
  </fonts>
  <fills count="11">
    <fill>
      <patternFill patternType="none"/>
    </fill>
    <fill>
      <patternFill patternType="lightGray"/>
    </fill>
    <fill>
      <patternFill patternType="solid">
        <fgColor rgb="FF1E3A4C"/>
        <bgColor rgb="FF1E3A4C"/>
      </patternFill>
    </fill>
    <fill>
      <patternFill patternType="solid">
        <fgColor rgb="FFFFFF00"/>
        <bgColor rgb="FFFFFF00"/>
      </patternFill>
    </fill>
    <fill>
      <patternFill patternType="solid">
        <fgColor rgb="FF2C5A73"/>
        <bgColor rgb="FF2C5A73"/>
      </patternFill>
    </fill>
    <fill>
      <patternFill patternType="solid">
        <fgColor rgb="FF3B7391"/>
        <bgColor rgb="FF3B7391"/>
      </patternFill>
    </fill>
    <fill>
      <patternFill patternType="solid">
        <fgColor rgb="FFDCE8EE"/>
        <bgColor rgb="FFDCE8EE"/>
      </patternFill>
    </fill>
    <fill>
      <patternFill patternType="solid">
        <fgColor rgb="FFF3F7F9"/>
        <bgColor rgb="FFF3F7F9"/>
      </patternFill>
    </fill>
    <fill>
      <patternFill patternType="solid">
        <fgColor rgb="FF2C8E6E"/>
        <bgColor rgb="FF2C8E6E"/>
      </patternFill>
    </fill>
    <fill>
      <patternFill patternType="solid">
        <fgColor rgb="FFA9CBDB"/>
        <bgColor rgb="FFA9CBDB"/>
      </patternFill>
    </fill>
    <fill>
      <patternFill patternType="solid">
        <fgColor rgb="FFB3402B"/>
        <bgColor rgb="FFB3402B"/>
      </patternFill>
    </fill>
  </fills>
  <borders count="11">
    <border/>
    <border>
      <left/>
      <right/>
      <top/>
      <bottom/>
    </border>
    <border>
      <bottom style="thin">
        <color rgb="FFC9D3D8"/>
      </bottom>
    </border>
    <border>
      <left/>
      <right/>
      <top/>
    </border>
    <border>
      <left/>
      <top/>
      <bottom/>
    </border>
    <border>
      <right/>
      <top/>
      <bottom/>
    </border>
    <border>
      <left/>
      <right/>
    </border>
    <border>
      <left/>
      <right/>
      <bottom/>
    </border>
    <border>
      <left/>
      <right/>
      <top/>
      <bottom style="thin">
        <color rgb="FFC9D3D8"/>
      </bottom>
    </border>
    <border>
      <left style="hair">
        <color rgb="FFD5DDE1"/>
      </left>
      <right style="hair">
        <color rgb="FFD5DDE1"/>
      </right>
      <top/>
      <bottom style="hair">
        <color rgb="FFE3E8EB"/>
      </bottom>
    </border>
    <border>
      <left style="hair">
        <color rgb="FFD5DDE1"/>
      </left>
      <right style="hair">
        <color rgb="FFD5DDE1"/>
      </right>
      <bottom style="hair">
        <color rgb="FFE3E8EB"/>
      </bottom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Alignment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1" fillId="2" fontId="4" numFmtId="0" xfId="0" applyAlignment="1" applyBorder="1" applyFill="1" applyFont="1">
      <alignment horizontal="center" shrinkToFit="0" vertical="bottom" wrapText="0"/>
    </xf>
    <xf borderId="1" fillId="3" fontId="5" numFmtId="164" xfId="0" applyAlignment="1" applyBorder="1" applyFill="1" applyFont="1" applyNumberFormat="1">
      <alignment shrinkToFit="0" vertical="bottom" wrapText="0"/>
    </xf>
    <xf borderId="2" fillId="0" fontId="6" numFmtId="0" xfId="0" applyAlignment="1" applyBorder="1" applyFont="1">
      <alignment shrinkToFit="0" vertical="bottom" wrapText="0"/>
    </xf>
    <xf borderId="0" fillId="0" fontId="3" numFmtId="0" xfId="0" applyAlignment="1" applyFont="1">
      <alignment horizontal="right" shrinkToFit="0" vertical="bottom" wrapText="0"/>
    </xf>
    <xf borderId="2" fillId="0" fontId="6" numFmtId="0" xfId="0" applyAlignment="1" applyBorder="1" applyFont="1">
      <alignment horizontal="center" shrinkToFit="0" vertical="bottom" wrapText="0"/>
    </xf>
    <xf borderId="0" fillId="0" fontId="7" numFmtId="9" xfId="0" applyAlignment="1" applyFont="1" applyNumberFormat="1">
      <alignment shrinkToFit="0" vertical="bottom" wrapText="0"/>
    </xf>
    <xf borderId="3" fillId="2" fontId="4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horizontal="center" shrinkToFit="0" vertical="bottom" wrapText="0"/>
    </xf>
    <xf borderId="5" fillId="0" fontId="8" numFmtId="0" xfId="0" applyBorder="1" applyFont="1"/>
    <xf borderId="4" fillId="5" fontId="4" numFmtId="0" xfId="0" applyAlignment="1" applyBorder="1" applyFill="1" applyFont="1">
      <alignment horizontal="center" shrinkToFit="0" vertical="bottom" wrapText="0"/>
    </xf>
    <xf borderId="6" fillId="0" fontId="8" numFmtId="0" xfId="0" applyBorder="1" applyFont="1"/>
    <xf borderId="7" fillId="0" fontId="8" numFmtId="0" xfId="0" applyBorder="1" applyFont="1"/>
    <xf borderId="1" fillId="4" fontId="9" numFmtId="165" xfId="0" applyAlignment="1" applyBorder="1" applyFill="1" applyFont="1" applyNumberFormat="1">
      <alignment horizontal="center" shrinkToFit="0" vertical="bottom" wrapText="0"/>
    </xf>
    <xf borderId="8" fillId="6" fontId="10" numFmtId="0" xfId="0" applyAlignment="1" applyBorder="1" applyFill="1" applyFont="1">
      <alignment horizontal="center" shrinkToFit="0" vertical="bottom" wrapText="0"/>
    </xf>
    <xf borderId="8" fillId="6" fontId="10" numFmtId="0" xfId="0" applyAlignment="1" applyBorder="1" applyFill="1" applyFont="1">
      <alignment shrinkToFit="0" vertical="bottom" wrapText="0"/>
    </xf>
    <xf borderId="8" fillId="6" fontId="10" numFmtId="166" xfId="0" applyAlignment="1" applyBorder="1" applyFill="1" applyFont="1" applyNumberFormat="1">
      <alignment horizontal="center" shrinkToFit="0" vertical="bottom" wrapText="0"/>
    </xf>
    <xf borderId="8" fillId="6" fontId="10" numFmtId="9" xfId="0" applyAlignment="1" applyBorder="1" applyFill="1" applyFont="1" applyNumberFormat="1">
      <alignment horizontal="center" shrinkToFit="0" vertical="bottom" wrapText="0"/>
    </xf>
    <xf borderId="9" fillId="7" fontId="11" numFmtId="0" xfId="0" applyAlignment="1" applyBorder="1" applyFill="1" applyFont="1">
      <alignment shrinkToFit="0" vertical="bottom" wrapText="0"/>
    </xf>
    <xf borderId="2" fillId="0" fontId="12" numFmtId="0" xfId="0" applyAlignment="1" applyBorder="1" applyFont="1">
      <alignment horizontal="center" shrinkToFit="0" vertical="bottom" wrapText="0"/>
    </xf>
    <xf borderId="2" fillId="0" fontId="12" numFmtId="0" xfId="0" applyAlignment="1" applyBorder="1" applyFont="1">
      <alignment shrinkToFit="0" vertical="bottom" wrapText="0"/>
    </xf>
    <xf borderId="2" fillId="0" fontId="13" numFmtId="0" xfId="0" applyAlignment="1" applyBorder="1" applyFont="1">
      <alignment horizontal="center" shrinkToFit="0" vertical="bottom" wrapText="0"/>
    </xf>
    <xf borderId="2" fillId="0" fontId="13" numFmtId="166" xfId="0" applyAlignment="1" applyBorder="1" applyFont="1" applyNumberFormat="1">
      <alignment horizontal="center" shrinkToFit="0" vertical="bottom" wrapText="0"/>
    </xf>
    <xf borderId="2" fillId="0" fontId="13" numFmtId="9" xfId="0" applyAlignment="1" applyBorder="1" applyFont="1" applyNumberFormat="1">
      <alignment horizontal="center" shrinkToFit="0" vertical="bottom" wrapText="0"/>
    </xf>
    <xf borderId="10" fillId="0" fontId="11" numFmtId="0" xfId="0" applyAlignment="1" applyBorder="1" applyFont="1">
      <alignment shrinkToFit="0" vertical="bottom" wrapText="0"/>
    </xf>
    <xf borderId="2" fillId="0" fontId="14" numFmtId="0" xfId="0" applyAlignment="1" applyBorder="1" applyFont="1">
      <alignment horizontal="center" shrinkToFit="0" vertical="bottom" wrapText="0"/>
    </xf>
    <xf borderId="2" fillId="0" fontId="14" numFmtId="0" xfId="0" applyAlignment="1" applyBorder="1" applyFont="1">
      <alignment shrinkToFit="0" vertical="bottom" wrapText="0"/>
    </xf>
    <xf borderId="2" fillId="0" fontId="5" numFmtId="0" xfId="0" applyAlignment="1" applyBorder="1" applyFont="1">
      <alignment horizontal="center" shrinkToFit="0" vertical="bottom" wrapText="0"/>
    </xf>
    <xf borderId="2" fillId="0" fontId="5" numFmtId="166" xfId="0" applyAlignment="1" applyBorder="1" applyFont="1" applyNumberFormat="1">
      <alignment horizontal="center" shrinkToFit="0" vertical="bottom" wrapText="0"/>
    </xf>
    <xf borderId="2" fillId="0" fontId="5" numFmtId="9" xfId="0" applyAlignment="1" applyBorder="1" applyFont="1" applyNumberFormat="1">
      <alignment horizontal="center" shrinkToFit="0" vertical="bottom" wrapText="0"/>
    </xf>
    <xf borderId="0" fillId="0" fontId="15" numFmtId="0" xfId="0" applyAlignment="1" applyFont="1">
      <alignment shrinkToFit="0" vertical="bottom" wrapText="0"/>
    </xf>
    <xf borderId="1" fillId="2" fontId="11" numFmtId="0" xfId="0" applyAlignment="1" applyBorder="1" applyFill="1" applyFont="1">
      <alignment shrinkToFit="0" vertical="bottom" wrapText="0"/>
    </xf>
    <xf borderId="0" fillId="0" fontId="6" numFmtId="0" xfId="0" applyAlignment="1" applyFont="1">
      <alignment shrinkToFit="0" vertical="bottom" wrapText="0"/>
    </xf>
    <xf borderId="1" fillId="8" fontId="11" numFmtId="0" xfId="0" applyAlignment="1" applyBorder="1" applyFill="1" applyFont="1">
      <alignment shrinkToFit="0" vertical="bottom" wrapText="0"/>
    </xf>
    <xf borderId="1" fillId="9" fontId="11" numFmtId="0" xfId="0" applyAlignment="1" applyBorder="1" applyFill="1" applyFont="1">
      <alignment shrinkToFit="0" vertical="bottom" wrapText="0"/>
    </xf>
    <xf borderId="1" fillId="10" fontId="11" numFmtId="0" xfId="0" applyAlignment="1" applyBorder="1" applyFill="1" applyFont="1">
      <alignment shrinkToFit="0" vertical="bottom" wrapText="0"/>
    </xf>
    <xf borderId="0" fillId="0" fontId="16" numFmtId="0" xfId="0" applyAlignment="1" applyFont="1">
      <alignment shrinkToFit="0" vertical="bottom" wrapText="0"/>
    </xf>
  </cellXfs>
  <cellStyles count="1">
    <cellStyle xfId="0" name="Normal" builtinId="0"/>
  </cellStyles>
  <dxfs count="6">
    <dxf>
      <font/>
      <fill>
        <patternFill patternType="solid">
          <fgColor rgb="FFB3402B"/>
          <bgColor rgb="FFB3402B"/>
        </patternFill>
      </fill>
      <border/>
    </dxf>
    <dxf>
      <font/>
      <fill>
        <patternFill patternType="solid">
          <fgColor rgb="FF1E3A4C"/>
          <bgColor rgb="FF1E3A4C"/>
        </patternFill>
      </fill>
      <border/>
    </dxf>
    <dxf>
      <font/>
      <fill>
        <patternFill patternType="solid">
          <fgColor rgb="FF2C8E6E"/>
          <bgColor rgb="FF2C8E6E"/>
        </patternFill>
      </fill>
      <border/>
    </dxf>
    <dxf>
      <font/>
      <fill>
        <patternFill patternType="solid">
          <fgColor rgb="FFA9CBDB"/>
          <bgColor rgb="FFA9CBDB"/>
        </patternFill>
      </fill>
      <border/>
    </dxf>
    <dxf>
      <font/>
      <fill>
        <patternFill patternType="solid">
          <fgColor rgb="FFDDF0E7"/>
          <bgColor rgb="FFDDF0E7"/>
        </patternFill>
      </fill>
      <border/>
    </dxf>
    <dxf>
      <font/>
      <fill>
        <patternFill patternType="solid">
          <fgColor rgb="FFFFF1C7"/>
          <bgColor rgb="FFFFF1C7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showGridLines="0" workbookViewId="0">
      <pane ySplit="7.0" topLeftCell="A8" activePane="bottomLeft" state="frozen"/>
      <selection activeCell="B9" sqref="B9" pane="bottomLeft"/>
    </sheetView>
  </sheetViews>
  <sheetFormatPr customHeight="1" defaultColWidth="14.43" defaultRowHeight="15.0"/>
  <cols>
    <col customWidth="1" min="1" max="1" width="5.0"/>
    <col customWidth="1" min="2" max="2" width="56.0"/>
    <col customWidth="1" min="3" max="3" width="17.0"/>
    <col customWidth="1" min="4" max="4" width="13.0"/>
    <col customWidth="1" min="5" max="6" width="10.0"/>
    <col customWidth="1" min="7" max="7" width="5.57"/>
    <col customWidth="1" min="8" max="8" width="8.43"/>
    <col customWidth="1" min="9" max="9" width="11.0"/>
    <col customWidth="1" hidden="1" min="10" max="10" width="4.0"/>
    <col customWidth="1" min="11" max="11" width="1.14"/>
    <col customWidth="1" min="12" max="25" width="7.0"/>
    <col customWidth="1" min="26" max="26" width="8.71"/>
  </cols>
  <sheetData>
    <row r="1">
      <c r="A1" s="1" t="s">
        <v>1</v>
      </c>
    </row>
    <row r="2">
      <c r="A2" s="2" t="s">
        <v>2</v>
      </c>
    </row>
    <row r="3">
      <c r="A3" s="3" t="s">
        <v>3</v>
      </c>
      <c r="E3" s="5">
        <v>46244.0</v>
      </c>
      <c r="F3" s="7" t="s">
        <v>10</v>
      </c>
      <c r="H3" s="9">
        <f>IFERROR(SUMPRODUCT((J8:J48="T")*G8:G48*H8:H48)/SUMPRODUCT((J8:J48="T")*G8:G48),0)</f>
        <v>0.5118110236</v>
      </c>
    </row>
    <row r="5" ht="15.0" customHeight="1">
      <c r="A5" s="10" t="s">
        <v>47</v>
      </c>
      <c r="B5" s="10" t="s">
        <v>48</v>
      </c>
      <c r="C5" s="10" t="s">
        <v>49</v>
      </c>
      <c r="D5" s="10" t="s">
        <v>50</v>
      </c>
      <c r="E5" s="10" t="s">
        <v>51</v>
      </c>
      <c r="F5" s="10" t="s">
        <v>52</v>
      </c>
      <c r="G5" s="10" t="s">
        <v>53</v>
      </c>
      <c r="H5" s="10" t="s">
        <v>54</v>
      </c>
      <c r="I5" s="10" t="s">
        <v>55</v>
      </c>
      <c r="J5" s="10" t="s">
        <v>4</v>
      </c>
      <c r="L5" s="11" t="s">
        <v>56</v>
      </c>
      <c r="M5" s="12"/>
      <c r="N5" s="13" t="s">
        <v>57</v>
      </c>
      <c r="O5" s="12"/>
      <c r="P5" s="11" t="s">
        <v>58</v>
      </c>
      <c r="Q5" s="12"/>
      <c r="R5" s="13" t="s">
        <v>59</v>
      </c>
      <c r="S5" s="12"/>
      <c r="T5" s="11" t="s">
        <v>60</v>
      </c>
      <c r="U5" s="12"/>
      <c r="V5" s="13" t="s">
        <v>61</v>
      </c>
      <c r="W5" s="12"/>
      <c r="X5" s="11" t="s">
        <v>62</v>
      </c>
      <c r="Y5" s="12"/>
    </row>
    <row r="6">
      <c r="A6" s="14"/>
      <c r="B6" s="14"/>
      <c r="C6" s="14"/>
      <c r="D6" s="14"/>
      <c r="E6" s="14"/>
      <c r="F6" s="14"/>
      <c r="G6" s="14"/>
      <c r="H6" s="14"/>
      <c r="I6" s="14"/>
      <c r="J6" s="14"/>
      <c r="L6" s="4" t="s">
        <v>63</v>
      </c>
      <c r="M6" s="4" t="s">
        <v>64</v>
      </c>
      <c r="N6" s="4" t="s">
        <v>65</v>
      </c>
      <c r="O6" s="4" t="s">
        <v>66</v>
      </c>
      <c r="P6" s="4" t="s">
        <v>67</v>
      </c>
      <c r="Q6" s="4" t="s">
        <v>68</v>
      </c>
      <c r="R6" s="4" t="s">
        <v>69</v>
      </c>
      <c r="S6" s="4" t="s">
        <v>70</v>
      </c>
      <c r="T6" s="4" t="s">
        <v>71</v>
      </c>
      <c r="U6" s="4" t="s">
        <v>72</v>
      </c>
      <c r="V6" s="4" t="s">
        <v>73</v>
      </c>
      <c r="W6" s="4" t="s">
        <v>74</v>
      </c>
      <c r="X6" s="4" t="s">
        <v>75</v>
      </c>
      <c r="Y6" s="4" t="s">
        <v>76</v>
      </c>
    </row>
    <row r="7">
      <c r="A7" s="15"/>
      <c r="B7" s="15"/>
      <c r="C7" s="15"/>
      <c r="D7" s="15"/>
      <c r="E7" s="15"/>
      <c r="F7" s="15"/>
      <c r="G7" s="15"/>
      <c r="H7" s="15"/>
      <c r="I7" s="15"/>
      <c r="J7" s="15"/>
      <c r="L7" s="16">
        <f>$E$3</f>
        <v>46244</v>
      </c>
      <c r="M7" s="16">
        <f t="shared" ref="M7:Y7" si="1">L7+7</f>
        <v>46251</v>
      </c>
      <c r="N7" s="16">
        <f t="shared" si="1"/>
        <v>46258</v>
      </c>
      <c r="O7" s="16">
        <f t="shared" si="1"/>
        <v>46265</v>
      </c>
      <c r="P7" s="16">
        <f t="shared" si="1"/>
        <v>46272</v>
      </c>
      <c r="Q7" s="16">
        <f t="shared" si="1"/>
        <v>46279</v>
      </c>
      <c r="R7" s="16">
        <f t="shared" si="1"/>
        <v>46286</v>
      </c>
      <c r="S7" s="16">
        <f t="shared" si="1"/>
        <v>46293</v>
      </c>
      <c r="T7" s="16">
        <f t="shared" si="1"/>
        <v>46300</v>
      </c>
      <c r="U7" s="16">
        <f t="shared" si="1"/>
        <v>46307</v>
      </c>
      <c r="V7" s="16">
        <f t="shared" si="1"/>
        <v>46314</v>
      </c>
      <c r="W7" s="16">
        <f t="shared" si="1"/>
        <v>46321</v>
      </c>
      <c r="X7" s="16">
        <f t="shared" si="1"/>
        <v>46328</v>
      </c>
      <c r="Y7" s="16">
        <f t="shared" si="1"/>
        <v>46335</v>
      </c>
    </row>
    <row r="8" ht="16.5" customHeight="1">
      <c r="A8" s="17" t="s">
        <v>77</v>
      </c>
      <c r="B8" s="18" t="s">
        <v>78</v>
      </c>
      <c r="C8" s="18"/>
      <c r="D8" s="17"/>
      <c r="E8" s="19">
        <f>MIN(E9:E12)</f>
        <v>46244</v>
      </c>
      <c r="F8" s="19">
        <f>MAX(F9:F12)</f>
        <v>46265</v>
      </c>
      <c r="G8" s="17">
        <f t="shared" ref="G8:G48" si="2">F8-E8+1</f>
        <v>22</v>
      </c>
      <c r="H8" s="20">
        <f>IFERROR(SUMPRODUCT((J9:J12="T")*G9:G12*H9:H12)/SUMPRODUCT((J9:J12="T")*G9:G12),0)</f>
        <v>1</v>
      </c>
      <c r="I8" s="17" t="str">
        <f t="shared" ref="I8:I30" si="3">IF(H8&gt;=1,"Completado",IF(H8&gt;0,"En curso","Pendiente"))</f>
        <v>Completado</v>
      </c>
      <c r="J8" s="17" t="s">
        <v>79</v>
      </c>
      <c r="L8" s="21"/>
      <c r="M8" s="21"/>
      <c r="N8" s="21"/>
      <c r="O8" s="21"/>
      <c r="P8" s="21"/>
      <c r="Q8" s="21"/>
      <c r="R8" s="21"/>
      <c r="S8" s="21"/>
      <c r="T8" s="21"/>
      <c r="U8" s="21"/>
      <c r="V8" s="21"/>
      <c r="W8" s="21"/>
      <c r="X8" s="21"/>
      <c r="Y8" s="21"/>
    </row>
    <row r="9" ht="16.5" customHeight="1">
      <c r="A9" s="22" t="s">
        <v>80</v>
      </c>
      <c r="B9" s="23" t="s">
        <v>81</v>
      </c>
      <c r="C9" s="23" t="s">
        <v>82</v>
      </c>
      <c r="D9" s="24" t="s">
        <v>83</v>
      </c>
      <c r="E9" s="25">
        <v>46244.0</v>
      </c>
      <c r="F9" s="25">
        <v>46248.0</v>
      </c>
      <c r="G9" s="22">
        <f t="shared" si="2"/>
        <v>5</v>
      </c>
      <c r="H9" s="26">
        <v>1.0</v>
      </c>
      <c r="I9" s="22" t="str">
        <f t="shared" si="3"/>
        <v>Completado</v>
      </c>
      <c r="J9" s="22" t="s">
        <v>84</v>
      </c>
      <c r="L9" s="27"/>
      <c r="M9" s="27"/>
      <c r="N9" s="27"/>
      <c r="O9" s="27"/>
      <c r="P9" s="27"/>
      <c r="Q9" s="27"/>
      <c r="R9" s="27"/>
      <c r="S9" s="27"/>
      <c r="T9" s="27"/>
      <c r="U9" s="27"/>
      <c r="V9" s="27"/>
      <c r="W9" s="27"/>
      <c r="X9" s="27"/>
      <c r="Y9" s="27"/>
    </row>
    <row r="10" ht="16.5" customHeight="1">
      <c r="A10" s="22" t="s">
        <v>85</v>
      </c>
      <c r="B10" s="23" t="s">
        <v>86</v>
      </c>
      <c r="C10" s="23" t="s">
        <v>87</v>
      </c>
      <c r="D10" s="24" t="s">
        <v>83</v>
      </c>
      <c r="E10" s="25">
        <v>46251.0</v>
      </c>
      <c r="F10" s="25">
        <v>46261.0</v>
      </c>
      <c r="G10" s="22">
        <f t="shared" si="2"/>
        <v>11</v>
      </c>
      <c r="H10" s="26">
        <v>1.0</v>
      </c>
      <c r="I10" s="22" t="str">
        <f t="shared" si="3"/>
        <v>Completado</v>
      </c>
      <c r="J10" s="22" t="s">
        <v>84</v>
      </c>
      <c r="L10" s="27"/>
      <c r="M10" s="27"/>
      <c r="N10" s="27"/>
      <c r="O10" s="27"/>
      <c r="P10" s="27"/>
      <c r="Q10" s="27"/>
      <c r="R10" s="27"/>
      <c r="S10" s="27"/>
      <c r="T10" s="27"/>
      <c r="U10" s="27"/>
      <c r="V10" s="27"/>
      <c r="W10" s="27"/>
      <c r="X10" s="27"/>
      <c r="Y10" s="27"/>
    </row>
    <row r="11" ht="16.5" customHeight="1">
      <c r="A11" s="22" t="s">
        <v>88</v>
      </c>
      <c r="B11" s="23" t="s">
        <v>89</v>
      </c>
      <c r="C11" s="23" t="s">
        <v>90</v>
      </c>
      <c r="D11" s="24" t="s">
        <v>83</v>
      </c>
      <c r="E11" s="25">
        <v>46258.0</v>
      </c>
      <c r="F11" s="25">
        <v>46262.0</v>
      </c>
      <c r="G11" s="22">
        <f t="shared" si="2"/>
        <v>5</v>
      </c>
      <c r="H11" s="26">
        <v>1.0</v>
      </c>
      <c r="I11" s="22" t="str">
        <f t="shared" si="3"/>
        <v>Completado</v>
      </c>
      <c r="J11" s="22" t="s">
        <v>84</v>
      </c>
      <c r="L11" s="27"/>
      <c r="M11" s="27"/>
      <c r="N11" s="27"/>
      <c r="O11" s="27"/>
      <c r="P11" s="27"/>
      <c r="Q11" s="27"/>
      <c r="R11" s="27"/>
      <c r="S11" s="27"/>
      <c r="T11" s="27"/>
      <c r="U11" s="27"/>
      <c r="V11" s="27"/>
      <c r="W11" s="27"/>
      <c r="X11" s="27"/>
      <c r="Y11" s="27"/>
    </row>
    <row r="12" ht="16.5" customHeight="1">
      <c r="A12" s="22" t="s">
        <v>91</v>
      </c>
      <c r="B12" s="23" t="s">
        <v>92</v>
      </c>
      <c r="C12" s="23" t="s">
        <v>93</v>
      </c>
      <c r="D12" s="24" t="s">
        <v>83</v>
      </c>
      <c r="E12" s="25">
        <v>46260.0</v>
      </c>
      <c r="F12" s="25">
        <v>46265.0</v>
      </c>
      <c r="G12" s="22">
        <f t="shared" si="2"/>
        <v>6</v>
      </c>
      <c r="H12" s="26">
        <v>1.0</v>
      </c>
      <c r="I12" s="22" t="str">
        <f t="shared" si="3"/>
        <v>Completado</v>
      </c>
      <c r="J12" s="22" t="s">
        <v>84</v>
      </c>
      <c r="L12" s="27"/>
      <c r="M12" s="27"/>
      <c r="N12" s="27"/>
      <c r="O12" s="27"/>
      <c r="P12" s="27"/>
      <c r="Q12" s="27"/>
      <c r="R12" s="27"/>
      <c r="S12" s="27"/>
      <c r="T12" s="27"/>
      <c r="U12" s="27"/>
      <c r="V12" s="27"/>
      <c r="W12" s="27"/>
      <c r="X12" s="27"/>
      <c r="Y12" s="27"/>
    </row>
    <row r="13" ht="16.5" customHeight="1">
      <c r="A13" s="17" t="s">
        <v>94</v>
      </c>
      <c r="B13" s="18" t="s">
        <v>95</v>
      </c>
      <c r="C13" s="18"/>
      <c r="D13" s="17"/>
      <c r="E13" s="19">
        <f>MIN(E14:E18)</f>
        <v>46261</v>
      </c>
      <c r="F13" s="19">
        <f>MAX(F14:F18)</f>
        <v>46290</v>
      </c>
      <c r="G13" s="17">
        <f t="shared" si="2"/>
        <v>30</v>
      </c>
      <c r="H13" s="20">
        <f>IFERROR(SUMPRODUCT((J14:J18="T")*G14:G18*H14:H18)/SUMPRODUCT((J14:J18="T")*G14:G18),0)</f>
        <v>1</v>
      </c>
      <c r="I13" s="17" t="str">
        <f t="shared" si="3"/>
        <v>Completado</v>
      </c>
      <c r="J13" s="17" t="s">
        <v>79</v>
      </c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</row>
    <row r="14" ht="16.5" customHeight="1">
      <c r="A14" s="22" t="s">
        <v>96</v>
      </c>
      <c r="B14" s="23" t="s">
        <v>97</v>
      </c>
      <c r="C14" s="23" t="s">
        <v>98</v>
      </c>
      <c r="D14" s="24" t="s">
        <v>83</v>
      </c>
      <c r="E14" s="25">
        <v>46261.0</v>
      </c>
      <c r="F14" s="25">
        <v>46268.0</v>
      </c>
      <c r="G14" s="22">
        <f t="shared" si="2"/>
        <v>8</v>
      </c>
      <c r="H14" s="26">
        <v>1.0</v>
      </c>
      <c r="I14" s="22" t="str">
        <f t="shared" si="3"/>
        <v>Completado</v>
      </c>
      <c r="J14" s="22" t="s">
        <v>84</v>
      </c>
      <c r="L14" s="27"/>
      <c r="M14" s="27"/>
      <c r="N14" s="27"/>
      <c r="O14" s="27"/>
      <c r="P14" s="27"/>
      <c r="Q14" s="27"/>
      <c r="R14" s="27"/>
      <c r="S14" s="27"/>
      <c r="T14" s="27"/>
      <c r="U14" s="27"/>
      <c r="V14" s="27"/>
      <c r="W14" s="27"/>
      <c r="X14" s="27"/>
      <c r="Y14" s="27"/>
    </row>
    <row r="15" ht="16.5" customHeight="1">
      <c r="A15" s="22" t="s">
        <v>99</v>
      </c>
      <c r="B15" s="23" t="s">
        <v>100</v>
      </c>
      <c r="C15" s="23" t="s">
        <v>101</v>
      </c>
      <c r="D15" s="24" t="s">
        <v>83</v>
      </c>
      <c r="E15" s="25">
        <v>46265.0</v>
      </c>
      <c r="F15" s="25">
        <v>46269.0</v>
      </c>
      <c r="G15" s="22">
        <f t="shared" si="2"/>
        <v>5</v>
      </c>
      <c r="H15" s="26">
        <v>1.0</v>
      </c>
      <c r="I15" s="22" t="str">
        <f t="shared" si="3"/>
        <v>Completado</v>
      </c>
      <c r="J15" s="22" t="s">
        <v>84</v>
      </c>
      <c r="L15" s="27"/>
      <c r="M15" s="27"/>
      <c r="N15" s="27"/>
      <c r="O15" s="27"/>
      <c r="P15" s="27"/>
      <c r="Q15" s="27"/>
      <c r="R15" s="27"/>
      <c r="S15" s="27"/>
      <c r="T15" s="27"/>
      <c r="U15" s="27"/>
      <c r="V15" s="27"/>
      <c r="W15" s="27"/>
      <c r="X15" s="27"/>
      <c r="Y15" s="27"/>
    </row>
    <row r="16" ht="16.5" customHeight="1">
      <c r="A16" s="22" t="s">
        <v>102</v>
      </c>
      <c r="B16" s="23" t="s">
        <v>103</v>
      </c>
      <c r="C16" s="23" t="s">
        <v>104</v>
      </c>
      <c r="D16" s="24" t="s">
        <v>83</v>
      </c>
      <c r="E16" s="25">
        <v>46266.0</v>
      </c>
      <c r="F16" s="25">
        <v>46274.0</v>
      </c>
      <c r="G16" s="22">
        <f t="shared" si="2"/>
        <v>9</v>
      </c>
      <c r="H16" s="26">
        <v>1.0</v>
      </c>
      <c r="I16" s="22" t="str">
        <f t="shared" si="3"/>
        <v>Completado</v>
      </c>
      <c r="J16" s="22" t="s">
        <v>84</v>
      </c>
      <c r="L16" s="27"/>
      <c r="M16" s="27"/>
      <c r="N16" s="27"/>
      <c r="O16" s="27"/>
      <c r="P16" s="27"/>
      <c r="Q16" s="27"/>
      <c r="R16" s="27"/>
      <c r="S16" s="27"/>
      <c r="T16" s="27"/>
      <c r="U16" s="27"/>
      <c r="V16" s="27"/>
      <c r="W16" s="27"/>
      <c r="X16" s="27"/>
      <c r="Y16" s="27"/>
    </row>
    <row r="17" ht="16.5" customHeight="1">
      <c r="A17" s="22" t="s">
        <v>105</v>
      </c>
      <c r="B17" s="23" t="s">
        <v>106</v>
      </c>
      <c r="C17" s="23" t="s">
        <v>107</v>
      </c>
      <c r="D17" s="24" t="s">
        <v>83</v>
      </c>
      <c r="E17" s="25">
        <v>46272.0</v>
      </c>
      <c r="F17" s="25">
        <v>46282.0</v>
      </c>
      <c r="G17" s="22">
        <f t="shared" si="2"/>
        <v>11</v>
      </c>
      <c r="H17" s="26">
        <v>1.0</v>
      </c>
      <c r="I17" s="22" t="str">
        <f t="shared" si="3"/>
        <v>Completado</v>
      </c>
      <c r="J17" s="22" t="s">
        <v>84</v>
      </c>
      <c r="L17" s="27"/>
      <c r="M17" s="27"/>
      <c r="N17" s="27"/>
      <c r="O17" s="27"/>
      <c r="P17" s="27"/>
      <c r="Q17" s="27"/>
      <c r="R17" s="27"/>
      <c r="S17" s="27"/>
      <c r="T17" s="27"/>
      <c r="U17" s="27"/>
      <c r="V17" s="27"/>
      <c r="W17" s="27"/>
      <c r="X17" s="27"/>
      <c r="Y17" s="27"/>
    </row>
    <row r="18" ht="16.5" customHeight="1">
      <c r="A18" s="22" t="s">
        <v>108</v>
      </c>
      <c r="B18" s="23" t="s">
        <v>109</v>
      </c>
      <c r="C18" s="23" t="s">
        <v>110</v>
      </c>
      <c r="D18" s="24" t="s">
        <v>83</v>
      </c>
      <c r="E18" s="25">
        <v>46273.0</v>
      </c>
      <c r="F18" s="25">
        <v>46290.0</v>
      </c>
      <c r="G18" s="22">
        <f t="shared" si="2"/>
        <v>18</v>
      </c>
      <c r="H18" s="26">
        <v>1.0</v>
      </c>
      <c r="I18" s="22" t="str">
        <f t="shared" si="3"/>
        <v>Completado</v>
      </c>
      <c r="J18" s="22" t="s">
        <v>84</v>
      </c>
      <c r="L18" s="27"/>
      <c r="M18" s="27"/>
      <c r="N18" s="27"/>
      <c r="O18" s="27"/>
      <c r="P18" s="27"/>
      <c r="Q18" s="27"/>
      <c r="R18" s="27"/>
      <c r="S18" s="27"/>
      <c r="T18" s="27"/>
      <c r="U18" s="27"/>
      <c r="V18" s="27"/>
      <c r="W18" s="27"/>
      <c r="X18" s="27"/>
      <c r="Y18" s="27"/>
    </row>
    <row r="19" ht="16.5" customHeight="1">
      <c r="A19" s="17" t="s">
        <v>111</v>
      </c>
      <c r="B19" s="18" t="s">
        <v>112</v>
      </c>
      <c r="C19" s="18"/>
      <c r="D19" s="17"/>
      <c r="E19" s="19">
        <f>MIN(E20:E23)</f>
        <v>46266</v>
      </c>
      <c r="F19" s="19">
        <f>MAX(F20:F23)</f>
        <v>46288</v>
      </c>
      <c r="G19" s="17">
        <f t="shared" si="2"/>
        <v>23</v>
      </c>
      <c r="H19" s="20">
        <f>IFERROR(SUMPRODUCT((J20:J23="T")*G20:G23*H20:H23)/SUMPRODUCT((J20:J23="T")*G20:G23),0)</f>
        <v>1</v>
      </c>
      <c r="I19" s="17" t="str">
        <f t="shared" si="3"/>
        <v>Completado</v>
      </c>
      <c r="J19" s="17" t="s">
        <v>79</v>
      </c>
      <c r="L19" s="21"/>
      <c r="M19" s="21"/>
      <c r="N19" s="21"/>
      <c r="O19" s="21"/>
      <c r="P19" s="21"/>
      <c r="Q19" s="21"/>
      <c r="R19" s="21"/>
      <c r="S19" s="21"/>
      <c r="T19" s="21"/>
      <c r="U19" s="21"/>
      <c r="V19" s="21"/>
      <c r="W19" s="21"/>
      <c r="X19" s="21"/>
      <c r="Y19" s="21"/>
    </row>
    <row r="20" ht="16.5" customHeight="1">
      <c r="A20" s="22" t="s">
        <v>113</v>
      </c>
      <c r="B20" s="23" t="s">
        <v>114</v>
      </c>
      <c r="C20" s="23" t="s">
        <v>115</v>
      </c>
      <c r="D20" s="24" t="s">
        <v>83</v>
      </c>
      <c r="E20" s="25">
        <v>46266.0</v>
      </c>
      <c r="F20" s="25">
        <v>46276.0</v>
      </c>
      <c r="G20" s="22">
        <f t="shared" si="2"/>
        <v>11</v>
      </c>
      <c r="H20" s="26">
        <v>1.0</v>
      </c>
      <c r="I20" s="22" t="str">
        <f t="shared" si="3"/>
        <v>Completado</v>
      </c>
      <c r="J20" s="22" t="s">
        <v>84</v>
      </c>
      <c r="L20" s="27"/>
      <c r="M20" s="27"/>
      <c r="N20" s="27"/>
      <c r="O20" s="27"/>
      <c r="P20" s="27"/>
      <c r="Q20" s="27"/>
      <c r="R20" s="27"/>
      <c r="S20" s="27"/>
      <c r="T20" s="27"/>
      <c r="U20" s="27"/>
      <c r="V20" s="27"/>
      <c r="W20" s="27"/>
      <c r="X20" s="27"/>
      <c r="Y20" s="27"/>
    </row>
    <row r="21" ht="16.5" customHeight="1">
      <c r="A21" s="22" t="s">
        <v>116</v>
      </c>
      <c r="B21" s="23" t="s">
        <v>117</v>
      </c>
      <c r="C21" s="23" t="s">
        <v>118</v>
      </c>
      <c r="D21" s="24" t="s">
        <v>83</v>
      </c>
      <c r="E21" s="25">
        <v>46275.0</v>
      </c>
      <c r="F21" s="25">
        <v>46282.0</v>
      </c>
      <c r="G21" s="22">
        <f t="shared" si="2"/>
        <v>8</v>
      </c>
      <c r="H21" s="26">
        <v>1.0</v>
      </c>
      <c r="I21" s="22" t="str">
        <f t="shared" si="3"/>
        <v>Completado</v>
      </c>
      <c r="J21" s="22" t="s">
        <v>84</v>
      </c>
      <c r="L21" s="27"/>
      <c r="M21" s="27"/>
      <c r="N21" s="27"/>
      <c r="O21" s="27"/>
      <c r="P21" s="27"/>
      <c r="Q21" s="27"/>
      <c r="R21" s="27"/>
      <c r="S21" s="27"/>
      <c r="T21" s="27"/>
      <c r="U21" s="27"/>
      <c r="V21" s="27"/>
      <c r="W21" s="27"/>
      <c r="X21" s="27"/>
      <c r="Y21" s="27"/>
    </row>
    <row r="22" ht="16.5" customHeight="1">
      <c r="A22" s="22" t="s">
        <v>119</v>
      </c>
      <c r="B22" s="23" t="s">
        <v>120</v>
      </c>
      <c r="C22" s="23" t="s">
        <v>118</v>
      </c>
      <c r="D22" s="24" t="s">
        <v>83</v>
      </c>
      <c r="E22" s="25">
        <v>46279.0</v>
      </c>
      <c r="F22" s="25">
        <v>46286.0</v>
      </c>
      <c r="G22" s="22">
        <f t="shared" si="2"/>
        <v>8</v>
      </c>
      <c r="H22" s="26">
        <v>1.0</v>
      </c>
      <c r="I22" s="22" t="str">
        <f t="shared" si="3"/>
        <v>Completado</v>
      </c>
      <c r="J22" s="22" t="s">
        <v>84</v>
      </c>
      <c r="L22" s="27"/>
      <c r="M22" s="27"/>
      <c r="N22" s="27"/>
      <c r="O22" s="27"/>
      <c r="P22" s="27"/>
      <c r="Q22" s="27"/>
      <c r="R22" s="27"/>
      <c r="S22" s="27"/>
      <c r="T22" s="27"/>
      <c r="U22" s="27"/>
      <c r="V22" s="27"/>
      <c r="W22" s="27"/>
      <c r="X22" s="27"/>
      <c r="Y22" s="27"/>
    </row>
    <row r="23" ht="16.5" customHeight="1">
      <c r="A23" s="22" t="s">
        <v>121</v>
      </c>
      <c r="B23" s="23" t="s">
        <v>122</v>
      </c>
      <c r="C23" s="23" t="s">
        <v>123</v>
      </c>
      <c r="D23" s="24" t="s">
        <v>83</v>
      </c>
      <c r="E23" s="25">
        <v>46283.0</v>
      </c>
      <c r="F23" s="25">
        <v>46288.0</v>
      </c>
      <c r="G23" s="22">
        <f t="shared" si="2"/>
        <v>6</v>
      </c>
      <c r="H23" s="26">
        <v>1.0</v>
      </c>
      <c r="I23" s="22" t="str">
        <f t="shared" si="3"/>
        <v>Completado</v>
      </c>
      <c r="J23" s="22" t="s">
        <v>84</v>
      </c>
      <c r="L23" s="27"/>
      <c r="M23" s="27"/>
      <c r="N23" s="27"/>
      <c r="O23" s="27"/>
      <c r="P23" s="27"/>
      <c r="Q23" s="27"/>
      <c r="R23" s="27"/>
      <c r="S23" s="27"/>
      <c r="T23" s="27"/>
      <c r="U23" s="27"/>
      <c r="V23" s="27"/>
      <c r="W23" s="27"/>
      <c r="X23" s="27"/>
      <c r="Y23" s="27"/>
    </row>
    <row r="24" ht="16.5" customHeight="1">
      <c r="A24" s="17" t="s">
        <v>124</v>
      </c>
      <c r="B24" s="18" t="s">
        <v>125</v>
      </c>
      <c r="C24" s="18"/>
      <c r="D24" s="17"/>
      <c r="E24" s="19">
        <f>MIN(E25:E28)</f>
        <v>46282</v>
      </c>
      <c r="F24" s="19">
        <f>MAX(F25:F28)</f>
        <v>46290</v>
      </c>
      <c r="G24" s="17">
        <f t="shared" si="2"/>
        <v>9</v>
      </c>
      <c r="H24" s="20">
        <f>IFERROR(SUMPRODUCT((J25:J28="T")*G25:G28*H25:H28)/SUMPRODUCT((J25:J28="T")*G25:G28),0)</f>
        <v>1</v>
      </c>
      <c r="I24" s="17" t="str">
        <f t="shared" si="3"/>
        <v>Completado</v>
      </c>
      <c r="J24" s="17" t="s">
        <v>79</v>
      </c>
      <c r="L24" s="21"/>
      <c r="M24" s="21"/>
      <c r="N24" s="21"/>
      <c r="O24" s="21"/>
      <c r="P24" s="21"/>
      <c r="Q24" s="21"/>
      <c r="R24" s="21"/>
      <c r="S24" s="21"/>
      <c r="T24" s="21"/>
      <c r="U24" s="21"/>
      <c r="V24" s="21"/>
      <c r="W24" s="21"/>
      <c r="X24" s="21"/>
      <c r="Y24" s="21"/>
    </row>
    <row r="25" ht="16.5" customHeight="1">
      <c r="A25" s="22" t="s">
        <v>126</v>
      </c>
      <c r="B25" s="23" t="s">
        <v>127</v>
      </c>
      <c r="C25" s="23" t="s">
        <v>128</v>
      </c>
      <c r="D25" s="24" t="s">
        <v>83</v>
      </c>
      <c r="E25" s="25">
        <v>46282.0</v>
      </c>
      <c r="F25" s="25">
        <v>46284.0</v>
      </c>
      <c r="G25" s="22">
        <f t="shared" si="2"/>
        <v>3</v>
      </c>
      <c r="H25" s="26">
        <v>1.0</v>
      </c>
      <c r="I25" s="22" t="str">
        <f t="shared" si="3"/>
        <v>Completado</v>
      </c>
      <c r="J25" s="22" t="s">
        <v>84</v>
      </c>
      <c r="L25" s="27"/>
      <c r="M25" s="27"/>
      <c r="N25" s="27"/>
      <c r="O25" s="27"/>
      <c r="P25" s="27"/>
      <c r="Q25" s="27"/>
      <c r="R25" s="27"/>
      <c r="S25" s="27"/>
      <c r="T25" s="27"/>
      <c r="U25" s="27"/>
      <c r="V25" s="27"/>
      <c r="W25" s="27"/>
      <c r="X25" s="27"/>
      <c r="Y25" s="27"/>
    </row>
    <row r="26" ht="16.5" customHeight="1">
      <c r="A26" s="22" t="s">
        <v>129</v>
      </c>
      <c r="B26" s="23" t="s">
        <v>130</v>
      </c>
      <c r="C26" s="23" t="s">
        <v>131</v>
      </c>
      <c r="D26" s="24" t="s">
        <v>83</v>
      </c>
      <c r="E26" s="25">
        <v>46282.0</v>
      </c>
      <c r="F26" s="25">
        <v>46287.0</v>
      </c>
      <c r="G26" s="22">
        <f t="shared" si="2"/>
        <v>6</v>
      </c>
      <c r="H26" s="26">
        <v>1.0</v>
      </c>
      <c r="I26" s="22" t="str">
        <f t="shared" si="3"/>
        <v>Completado</v>
      </c>
      <c r="J26" s="22" t="s">
        <v>84</v>
      </c>
      <c r="L26" s="27"/>
      <c r="M26" s="27"/>
      <c r="N26" s="27"/>
      <c r="O26" s="27"/>
      <c r="P26" s="27"/>
      <c r="Q26" s="27"/>
      <c r="R26" s="27"/>
      <c r="S26" s="27"/>
      <c r="T26" s="27"/>
      <c r="U26" s="27"/>
      <c r="V26" s="27"/>
      <c r="W26" s="27"/>
      <c r="X26" s="27"/>
      <c r="Y26" s="27"/>
    </row>
    <row r="27" ht="16.5" customHeight="1">
      <c r="A27" s="22" t="s">
        <v>132</v>
      </c>
      <c r="B27" s="23" t="s">
        <v>133</v>
      </c>
      <c r="C27" s="23" t="s">
        <v>134</v>
      </c>
      <c r="D27" s="24" t="s">
        <v>83</v>
      </c>
      <c r="E27" s="25">
        <v>46287.0</v>
      </c>
      <c r="F27" s="25">
        <v>46289.0</v>
      </c>
      <c r="G27" s="22">
        <f t="shared" si="2"/>
        <v>3</v>
      </c>
      <c r="H27" s="26">
        <v>1.0</v>
      </c>
      <c r="I27" s="22" t="str">
        <f t="shared" si="3"/>
        <v>Completado</v>
      </c>
      <c r="J27" s="22" t="s">
        <v>84</v>
      </c>
      <c r="L27" s="27"/>
      <c r="M27" s="27"/>
      <c r="N27" s="27"/>
      <c r="O27" s="27"/>
      <c r="P27" s="27"/>
      <c r="Q27" s="27"/>
      <c r="R27" s="27"/>
      <c r="S27" s="27"/>
      <c r="T27" s="27"/>
      <c r="U27" s="27"/>
      <c r="V27" s="27"/>
      <c r="W27" s="27"/>
      <c r="X27" s="27"/>
      <c r="Y27" s="27"/>
    </row>
    <row r="28" ht="16.5" customHeight="1">
      <c r="A28" s="22" t="s">
        <v>135</v>
      </c>
      <c r="B28" s="23" t="s">
        <v>136</v>
      </c>
      <c r="C28" s="23" t="s">
        <v>137</v>
      </c>
      <c r="D28" s="24" t="s">
        <v>83</v>
      </c>
      <c r="E28" s="25">
        <v>46289.0</v>
      </c>
      <c r="F28" s="25">
        <v>46290.0</v>
      </c>
      <c r="G28" s="22">
        <f t="shared" si="2"/>
        <v>2</v>
      </c>
      <c r="H28" s="26">
        <v>1.0</v>
      </c>
      <c r="I28" s="22" t="str">
        <f t="shared" si="3"/>
        <v>Completado</v>
      </c>
      <c r="J28" s="22" t="s">
        <v>84</v>
      </c>
      <c r="L28" s="27"/>
      <c r="M28" s="27"/>
      <c r="N28" s="27"/>
      <c r="O28" s="27"/>
      <c r="P28" s="27"/>
      <c r="Q28" s="27"/>
      <c r="R28" s="27"/>
      <c r="S28" s="27"/>
      <c r="T28" s="27"/>
      <c r="U28" s="27"/>
      <c r="V28" s="27"/>
      <c r="W28" s="27"/>
      <c r="X28" s="27"/>
      <c r="Y28" s="27"/>
    </row>
    <row r="29" ht="16.5" customHeight="1">
      <c r="A29" s="17" t="s">
        <v>138</v>
      </c>
      <c r="B29" s="18" t="s">
        <v>139</v>
      </c>
      <c r="C29" s="18"/>
      <c r="D29" s="17"/>
      <c r="E29" s="19">
        <f>MIN(E30:E31)</f>
        <v>46286</v>
      </c>
      <c r="F29" s="19">
        <f>MAX(F30:F31)</f>
        <v>46290</v>
      </c>
      <c r="G29" s="17">
        <f t="shared" si="2"/>
        <v>5</v>
      </c>
      <c r="H29" s="20">
        <f>IFERROR(SUMPRODUCT((J30:J31="T")*G30:G31*H30:H31)/SUMPRODUCT((J30:J31="T")*G30:G31),0)</f>
        <v>1</v>
      </c>
      <c r="I29" s="17" t="str">
        <f t="shared" si="3"/>
        <v>Completado</v>
      </c>
      <c r="J29" s="17" t="s">
        <v>79</v>
      </c>
      <c r="L29" s="21"/>
      <c r="M29" s="21"/>
      <c r="N29" s="21"/>
      <c r="O29" s="21"/>
      <c r="P29" s="21"/>
      <c r="Q29" s="21"/>
      <c r="R29" s="21"/>
      <c r="S29" s="21"/>
      <c r="T29" s="21"/>
      <c r="U29" s="21"/>
      <c r="V29" s="21"/>
      <c r="W29" s="21"/>
      <c r="X29" s="21"/>
      <c r="Y29" s="21"/>
    </row>
    <row r="30" ht="16.5" customHeight="1">
      <c r="A30" s="22" t="s">
        <v>140</v>
      </c>
      <c r="B30" s="23" t="s">
        <v>141</v>
      </c>
      <c r="C30" s="23" t="s">
        <v>142</v>
      </c>
      <c r="D30" s="24" t="s">
        <v>83</v>
      </c>
      <c r="E30" s="25">
        <v>46286.0</v>
      </c>
      <c r="F30" s="25">
        <v>46290.0</v>
      </c>
      <c r="G30" s="22">
        <f t="shared" si="2"/>
        <v>5</v>
      </c>
      <c r="H30" s="26">
        <v>1.0</v>
      </c>
      <c r="I30" s="22" t="str">
        <f t="shared" si="3"/>
        <v>Completado</v>
      </c>
      <c r="J30" s="22" t="s">
        <v>84</v>
      </c>
      <c r="L30" s="27"/>
      <c r="M30" s="27"/>
      <c r="N30" s="27"/>
      <c r="O30" s="27"/>
      <c r="P30" s="27"/>
      <c r="Q30" s="27"/>
      <c r="R30" s="27"/>
      <c r="S30" s="27"/>
      <c r="T30" s="27"/>
      <c r="U30" s="27"/>
      <c r="V30" s="27"/>
      <c r="W30" s="27"/>
      <c r="X30" s="27"/>
      <c r="Y30" s="27"/>
    </row>
    <row r="31" ht="16.5" customHeight="1">
      <c r="A31" s="28" t="s">
        <v>143</v>
      </c>
      <c r="B31" s="29" t="s">
        <v>144</v>
      </c>
      <c r="C31" s="29" t="s">
        <v>145</v>
      </c>
      <c r="D31" s="30" t="s">
        <v>83</v>
      </c>
      <c r="E31" s="31">
        <v>46290.0</v>
      </c>
      <c r="F31" s="31">
        <v>46290.0</v>
      </c>
      <c r="G31" s="28">
        <f t="shared" si="2"/>
        <v>1</v>
      </c>
      <c r="H31" s="32">
        <v>1.0</v>
      </c>
      <c r="I31" s="28" t="str">
        <f>IF(H31&gt;=1,"Cumplido","Pendiente")</f>
        <v>Cumplido</v>
      </c>
      <c r="J31" s="28" t="s">
        <v>146</v>
      </c>
      <c r="L31" s="27"/>
      <c r="M31" s="27"/>
      <c r="N31" s="27"/>
      <c r="O31" s="27"/>
      <c r="P31" s="27"/>
      <c r="Q31" s="27"/>
      <c r="R31" s="27"/>
      <c r="S31" s="27"/>
      <c r="T31" s="27"/>
      <c r="U31" s="27"/>
      <c r="V31" s="27"/>
      <c r="W31" s="27"/>
      <c r="X31" s="27"/>
      <c r="Y31" s="27"/>
    </row>
    <row r="32" ht="16.5" customHeight="1">
      <c r="A32" s="17" t="s">
        <v>147</v>
      </c>
      <c r="B32" s="18" t="s">
        <v>148</v>
      </c>
      <c r="C32" s="18"/>
      <c r="D32" s="17"/>
      <c r="E32" s="19">
        <f>MIN(E33:E38)</f>
        <v>46293</v>
      </c>
      <c r="F32" s="19">
        <f>MAX(F33:F38)</f>
        <v>46325</v>
      </c>
      <c r="G32" s="17">
        <f t="shared" si="2"/>
        <v>33</v>
      </c>
      <c r="H32" s="20">
        <f>IFERROR(SUMPRODUCT((J33:J38="T")*G33:G38*H33:H38)/SUMPRODUCT((J33:J38="T")*G33:G38),0)</f>
        <v>0</v>
      </c>
      <c r="I32" s="17" t="str">
        <f t="shared" ref="I32:I47" si="4">IF(H32&gt;=1,"Completado",IF(H32&gt;0,"En curso","Pendiente"))</f>
        <v>Pendiente</v>
      </c>
      <c r="J32" s="17" t="s">
        <v>79</v>
      </c>
      <c r="L32" s="21"/>
      <c r="M32" s="21"/>
      <c r="N32" s="21"/>
      <c r="O32" s="21"/>
      <c r="P32" s="21"/>
      <c r="Q32" s="21"/>
      <c r="R32" s="21"/>
      <c r="S32" s="21"/>
      <c r="T32" s="21"/>
      <c r="U32" s="21"/>
      <c r="V32" s="21"/>
      <c r="W32" s="21"/>
      <c r="X32" s="21"/>
      <c r="Y32" s="21"/>
    </row>
    <row r="33" ht="16.5" customHeight="1">
      <c r="A33" s="22" t="s">
        <v>149</v>
      </c>
      <c r="B33" s="23" t="s">
        <v>150</v>
      </c>
      <c r="C33" s="23" t="s">
        <v>151</v>
      </c>
      <c r="D33" s="24" t="s">
        <v>83</v>
      </c>
      <c r="E33" s="25">
        <v>46293.0</v>
      </c>
      <c r="F33" s="25">
        <v>46304.0</v>
      </c>
      <c r="G33" s="22">
        <f t="shared" si="2"/>
        <v>12</v>
      </c>
      <c r="H33" s="26">
        <v>0.0</v>
      </c>
      <c r="I33" s="22" t="str">
        <f t="shared" si="4"/>
        <v>Pendiente</v>
      </c>
      <c r="J33" s="22" t="s">
        <v>84</v>
      </c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</row>
    <row r="34" ht="16.5" customHeight="1">
      <c r="A34" s="22" t="s">
        <v>152</v>
      </c>
      <c r="B34" s="23" t="s">
        <v>153</v>
      </c>
      <c r="C34" s="23" t="s">
        <v>154</v>
      </c>
      <c r="D34" s="24" t="s">
        <v>83</v>
      </c>
      <c r="E34" s="25">
        <v>46300.0</v>
      </c>
      <c r="F34" s="25">
        <v>46309.0</v>
      </c>
      <c r="G34" s="22">
        <f t="shared" si="2"/>
        <v>10</v>
      </c>
      <c r="H34" s="26">
        <v>0.0</v>
      </c>
      <c r="I34" s="22" t="str">
        <f t="shared" si="4"/>
        <v>Pendiente</v>
      </c>
      <c r="J34" s="22" t="s">
        <v>84</v>
      </c>
      <c r="L34" s="27"/>
      <c r="M34" s="27"/>
      <c r="N34" s="27"/>
      <c r="O34" s="27"/>
      <c r="P34" s="27"/>
      <c r="Q34" s="27"/>
      <c r="R34" s="27"/>
      <c r="S34" s="27"/>
      <c r="T34" s="27"/>
      <c r="U34" s="27"/>
      <c r="V34" s="27"/>
      <c r="W34" s="27"/>
      <c r="X34" s="27"/>
      <c r="Y34" s="27"/>
    </row>
    <row r="35" ht="16.5" customHeight="1">
      <c r="A35" s="22" t="s">
        <v>155</v>
      </c>
      <c r="B35" s="23" t="s">
        <v>156</v>
      </c>
      <c r="C35" s="23" t="s">
        <v>157</v>
      </c>
      <c r="D35" s="24" t="s">
        <v>83</v>
      </c>
      <c r="E35" s="25">
        <v>46300.0</v>
      </c>
      <c r="F35" s="25">
        <v>46311.0</v>
      </c>
      <c r="G35" s="22">
        <f t="shared" si="2"/>
        <v>12</v>
      </c>
      <c r="H35" s="26">
        <v>0.0</v>
      </c>
      <c r="I35" s="22" t="str">
        <f t="shared" si="4"/>
        <v>Pendiente</v>
      </c>
      <c r="J35" s="22" t="s">
        <v>84</v>
      </c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X35" s="27"/>
      <c r="Y35" s="27"/>
    </row>
    <row r="36" ht="16.5" customHeight="1">
      <c r="A36" s="22" t="s">
        <v>158</v>
      </c>
      <c r="B36" s="23" t="s">
        <v>159</v>
      </c>
      <c r="C36" s="23" t="s">
        <v>160</v>
      </c>
      <c r="D36" s="24" t="s">
        <v>83</v>
      </c>
      <c r="E36" s="25">
        <v>46308.0</v>
      </c>
      <c r="F36" s="25">
        <v>46315.0</v>
      </c>
      <c r="G36" s="22">
        <f t="shared" si="2"/>
        <v>8</v>
      </c>
      <c r="H36" s="26">
        <v>0.0</v>
      </c>
      <c r="I36" s="22" t="str">
        <f t="shared" si="4"/>
        <v>Pendiente</v>
      </c>
      <c r="J36" s="22" t="s">
        <v>84</v>
      </c>
      <c r="L36" s="27"/>
      <c r="M36" s="27"/>
      <c r="N36" s="27"/>
      <c r="O36" s="27"/>
      <c r="P36" s="27"/>
      <c r="Q36" s="27"/>
      <c r="R36" s="27"/>
      <c r="S36" s="27"/>
      <c r="T36" s="27"/>
      <c r="U36" s="27"/>
      <c r="V36" s="27"/>
      <c r="W36" s="27"/>
      <c r="X36" s="27"/>
      <c r="Y36" s="27"/>
    </row>
    <row r="37" ht="16.5" customHeight="1">
      <c r="A37" s="22" t="s">
        <v>161</v>
      </c>
      <c r="B37" s="23" t="s">
        <v>162</v>
      </c>
      <c r="C37" s="23" t="s">
        <v>163</v>
      </c>
      <c r="D37" s="24" t="s">
        <v>83</v>
      </c>
      <c r="E37" s="25">
        <v>46308.0</v>
      </c>
      <c r="F37" s="25">
        <v>46318.0</v>
      </c>
      <c r="G37" s="22">
        <f t="shared" si="2"/>
        <v>11</v>
      </c>
      <c r="H37" s="26">
        <v>0.0</v>
      </c>
      <c r="I37" s="22" t="str">
        <f t="shared" si="4"/>
        <v>Pendiente</v>
      </c>
      <c r="J37" s="22" t="s">
        <v>84</v>
      </c>
      <c r="L37" s="27"/>
      <c r="M37" s="27"/>
      <c r="N37" s="27"/>
      <c r="O37" s="27"/>
      <c r="P37" s="27"/>
      <c r="Q37" s="27"/>
      <c r="R37" s="27"/>
      <c r="S37" s="27"/>
      <c r="T37" s="27"/>
      <c r="U37" s="27"/>
      <c r="V37" s="27"/>
      <c r="W37" s="27"/>
      <c r="X37" s="27"/>
      <c r="Y37" s="27"/>
    </row>
    <row r="38" ht="16.5" customHeight="1">
      <c r="A38" s="22" t="s">
        <v>164</v>
      </c>
      <c r="B38" s="23" t="s">
        <v>165</v>
      </c>
      <c r="C38" s="23" t="s">
        <v>166</v>
      </c>
      <c r="D38" s="24" t="s">
        <v>83</v>
      </c>
      <c r="E38" s="25">
        <v>46314.0</v>
      </c>
      <c r="F38" s="25">
        <v>46325.0</v>
      </c>
      <c r="G38" s="22">
        <f t="shared" si="2"/>
        <v>12</v>
      </c>
      <c r="H38" s="26">
        <v>0.0</v>
      </c>
      <c r="I38" s="22" t="str">
        <f t="shared" si="4"/>
        <v>Pendiente</v>
      </c>
      <c r="J38" s="22" t="s">
        <v>84</v>
      </c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</row>
    <row r="39" ht="16.5" customHeight="1">
      <c r="A39" s="17" t="s">
        <v>167</v>
      </c>
      <c r="B39" s="18" t="s">
        <v>168</v>
      </c>
      <c r="C39" s="18"/>
      <c r="D39" s="17"/>
      <c r="E39" s="19">
        <f>MIN(E40:E43)</f>
        <v>46314</v>
      </c>
      <c r="F39" s="19">
        <f>MAX(F40:F43)</f>
        <v>46336</v>
      </c>
      <c r="G39" s="17">
        <f t="shared" si="2"/>
        <v>23</v>
      </c>
      <c r="H39" s="20">
        <f>IFERROR(SUMPRODUCT((J40:J43="T")*G40:G43*H40:H43)/SUMPRODUCT((J40:J43="T")*G40:G43),0)</f>
        <v>0</v>
      </c>
      <c r="I39" s="17" t="str">
        <f t="shared" si="4"/>
        <v>Pendiente</v>
      </c>
      <c r="J39" s="17" t="s">
        <v>79</v>
      </c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</row>
    <row r="40" ht="16.5" customHeight="1">
      <c r="A40" s="22" t="s">
        <v>169</v>
      </c>
      <c r="B40" s="23" t="s">
        <v>170</v>
      </c>
      <c r="C40" s="23" t="s">
        <v>171</v>
      </c>
      <c r="D40" s="24" t="s">
        <v>83</v>
      </c>
      <c r="E40" s="25">
        <v>46314.0</v>
      </c>
      <c r="F40" s="25">
        <v>46325.0</v>
      </c>
      <c r="G40" s="22">
        <f t="shared" si="2"/>
        <v>12</v>
      </c>
      <c r="H40" s="26">
        <v>0.0</v>
      </c>
      <c r="I40" s="22" t="str">
        <f t="shared" si="4"/>
        <v>Pendiente</v>
      </c>
      <c r="J40" s="22" t="s">
        <v>84</v>
      </c>
      <c r="L40" s="27"/>
      <c r="M40" s="27"/>
      <c r="N40" s="27"/>
      <c r="O40" s="27"/>
      <c r="P40" s="27"/>
      <c r="Q40" s="27"/>
      <c r="R40" s="27"/>
      <c r="S40" s="27"/>
      <c r="T40" s="27"/>
      <c r="U40" s="27"/>
      <c r="V40" s="27"/>
      <c r="W40" s="27"/>
      <c r="X40" s="27"/>
      <c r="Y40" s="27"/>
    </row>
    <row r="41" ht="16.5" customHeight="1">
      <c r="A41" s="22" t="s">
        <v>172</v>
      </c>
      <c r="B41" s="23" t="s">
        <v>173</v>
      </c>
      <c r="C41" s="23" t="s">
        <v>174</v>
      </c>
      <c r="D41" s="24" t="s">
        <v>83</v>
      </c>
      <c r="E41" s="25">
        <v>46321.0</v>
      </c>
      <c r="F41" s="25">
        <v>46330.0</v>
      </c>
      <c r="G41" s="22">
        <f t="shared" si="2"/>
        <v>10</v>
      </c>
      <c r="H41" s="26">
        <v>0.0</v>
      </c>
      <c r="I41" s="22" t="str">
        <f t="shared" si="4"/>
        <v>Pendiente</v>
      </c>
      <c r="J41" s="22" t="s">
        <v>84</v>
      </c>
      <c r="L41" s="27"/>
      <c r="M41" s="27"/>
      <c r="N41" s="27"/>
      <c r="O41" s="27"/>
      <c r="P41" s="27"/>
      <c r="Q41" s="27"/>
      <c r="R41" s="27"/>
      <c r="S41" s="27"/>
      <c r="T41" s="27"/>
      <c r="U41" s="27"/>
      <c r="V41" s="27"/>
      <c r="W41" s="27"/>
      <c r="X41" s="27"/>
      <c r="Y41" s="27"/>
    </row>
    <row r="42" ht="16.5" customHeight="1">
      <c r="A42" s="22" t="s">
        <v>175</v>
      </c>
      <c r="B42" s="23" t="s">
        <v>176</v>
      </c>
      <c r="C42" s="23" t="s">
        <v>177</v>
      </c>
      <c r="D42" s="24" t="s">
        <v>83</v>
      </c>
      <c r="E42" s="25">
        <v>46328.0</v>
      </c>
      <c r="F42" s="25">
        <v>46332.0</v>
      </c>
      <c r="G42" s="22">
        <f t="shared" si="2"/>
        <v>5</v>
      </c>
      <c r="H42" s="26">
        <v>0.0</v>
      </c>
      <c r="I42" s="22" t="str">
        <f t="shared" si="4"/>
        <v>Pendiente</v>
      </c>
      <c r="J42" s="22" t="s">
        <v>84</v>
      </c>
      <c r="L42" s="27"/>
      <c r="M42" s="27"/>
      <c r="N42" s="27"/>
      <c r="O42" s="27"/>
      <c r="P42" s="27"/>
      <c r="Q42" s="27"/>
      <c r="R42" s="27"/>
      <c r="S42" s="27"/>
      <c r="T42" s="27"/>
      <c r="U42" s="27"/>
      <c r="V42" s="27"/>
      <c r="W42" s="27"/>
      <c r="X42" s="27"/>
      <c r="Y42" s="27"/>
    </row>
    <row r="43" ht="16.5" customHeight="1">
      <c r="A43" s="22" t="s">
        <v>178</v>
      </c>
      <c r="B43" s="23" t="s">
        <v>179</v>
      </c>
      <c r="C43" s="23" t="s">
        <v>180</v>
      </c>
      <c r="D43" s="24" t="s">
        <v>83</v>
      </c>
      <c r="E43" s="25">
        <v>46329.0</v>
      </c>
      <c r="F43" s="25">
        <v>46336.0</v>
      </c>
      <c r="G43" s="22">
        <f t="shared" si="2"/>
        <v>8</v>
      </c>
      <c r="H43" s="26">
        <v>0.0</v>
      </c>
      <c r="I43" s="22" t="str">
        <f t="shared" si="4"/>
        <v>Pendiente</v>
      </c>
      <c r="J43" s="22" t="s">
        <v>84</v>
      </c>
      <c r="L43" s="27"/>
      <c r="M43" s="27"/>
      <c r="N43" s="27"/>
      <c r="O43" s="27"/>
      <c r="P43" s="27"/>
      <c r="Q43" s="27"/>
      <c r="R43" s="27"/>
      <c r="S43" s="27"/>
      <c r="T43" s="27"/>
      <c r="U43" s="27"/>
      <c r="V43" s="27"/>
      <c r="W43" s="27"/>
      <c r="X43" s="27"/>
      <c r="Y43" s="27"/>
    </row>
    <row r="44" ht="16.5" customHeight="1">
      <c r="A44" s="17" t="s">
        <v>181</v>
      </c>
      <c r="B44" s="18" t="s">
        <v>182</v>
      </c>
      <c r="C44" s="18"/>
      <c r="D44" s="17"/>
      <c r="E44" s="19">
        <f>MIN(E45:E48)</f>
        <v>46328</v>
      </c>
      <c r="F44" s="19">
        <f>MAX(F45:F48)</f>
        <v>46339</v>
      </c>
      <c r="G44" s="17">
        <f t="shared" si="2"/>
        <v>12</v>
      </c>
      <c r="H44" s="20">
        <f>IFERROR(SUMPRODUCT((J45:J48="T")*G45:G48*H45:H48)/SUMPRODUCT((J45:J48="T")*G45:G48),0)</f>
        <v>0</v>
      </c>
      <c r="I44" s="17" t="str">
        <f t="shared" si="4"/>
        <v>Pendiente</v>
      </c>
      <c r="J44" s="17" t="s">
        <v>79</v>
      </c>
      <c r="L44" s="21"/>
      <c r="M44" s="21"/>
      <c r="N44" s="21"/>
      <c r="O44" s="21"/>
      <c r="P44" s="21"/>
      <c r="Q44" s="21"/>
      <c r="R44" s="21"/>
      <c r="S44" s="21"/>
      <c r="T44" s="21"/>
      <c r="U44" s="21"/>
      <c r="V44" s="21"/>
      <c r="W44" s="21"/>
      <c r="X44" s="21"/>
      <c r="Y44" s="21"/>
    </row>
    <row r="45" ht="16.5" customHeight="1">
      <c r="A45" s="22" t="s">
        <v>183</v>
      </c>
      <c r="B45" s="23" t="s">
        <v>184</v>
      </c>
      <c r="C45" s="23" t="s">
        <v>185</v>
      </c>
      <c r="D45" s="24" t="s">
        <v>83</v>
      </c>
      <c r="E45" s="25">
        <v>46328.0</v>
      </c>
      <c r="F45" s="25">
        <v>46338.0</v>
      </c>
      <c r="G45" s="22">
        <f t="shared" si="2"/>
        <v>11</v>
      </c>
      <c r="H45" s="26">
        <v>0.0</v>
      </c>
      <c r="I45" s="22" t="str">
        <f t="shared" si="4"/>
        <v>Pendiente</v>
      </c>
      <c r="J45" s="22" t="s">
        <v>84</v>
      </c>
      <c r="L45" s="27"/>
      <c r="M45" s="27"/>
      <c r="N45" s="27"/>
      <c r="O45" s="27"/>
      <c r="P45" s="27"/>
      <c r="Q45" s="27"/>
      <c r="R45" s="27"/>
      <c r="S45" s="27"/>
      <c r="T45" s="27"/>
      <c r="U45" s="27"/>
      <c r="V45" s="27"/>
      <c r="W45" s="27"/>
      <c r="X45" s="27"/>
      <c r="Y45" s="27"/>
    </row>
    <row r="46" ht="16.5" customHeight="1">
      <c r="A46" s="22" t="s">
        <v>186</v>
      </c>
      <c r="B46" s="23" t="s">
        <v>187</v>
      </c>
      <c r="C46" s="23" t="s">
        <v>188</v>
      </c>
      <c r="D46" s="24" t="s">
        <v>83</v>
      </c>
      <c r="E46" s="25">
        <v>46329.0</v>
      </c>
      <c r="F46" s="25">
        <v>46337.0</v>
      </c>
      <c r="G46" s="22">
        <f t="shared" si="2"/>
        <v>9</v>
      </c>
      <c r="H46" s="26">
        <v>0.0</v>
      </c>
      <c r="I46" s="22" t="str">
        <f t="shared" si="4"/>
        <v>Pendiente</v>
      </c>
      <c r="J46" s="22" t="s">
        <v>84</v>
      </c>
      <c r="L46" s="27"/>
      <c r="M46" s="27"/>
      <c r="N46" s="27"/>
      <c r="O46" s="27"/>
      <c r="P46" s="27"/>
      <c r="Q46" s="27"/>
      <c r="R46" s="27"/>
      <c r="S46" s="27"/>
      <c r="T46" s="27"/>
      <c r="U46" s="27"/>
      <c r="V46" s="27"/>
      <c r="W46" s="27"/>
      <c r="X46" s="27"/>
      <c r="Y46" s="27"/>
    </row>
    <row r="47" ht="16.5" customHeight="1">
      <c r="A47" s="22" t="s">
        <v>189</v>
      </c>
      <c r="B47" s="23" t="s">
        <v>190</v>
      </c>
      <c r="C47" s="23" t="s">
        <v>191</v>
      </c>
      <c r="D47" s="24" t="s">
        <v>83</v>
      </c>
      <c r="E47" s="25">
        <v>46335.0</v>
      </c>
      <c r="F47" s="25">
        <v>46338.0</v>
      </c>
      <c r="G47" s="22">
        <f t="shared" si="2"/>
        <v>4</v>
      </c>
      <c r="H47" s="26">
        <v>0.0</v>
      </c>
      <c r="I47" s="22" t="str">
        <f t="shared" si="4"/>
        <v>Pendiente</v>
      </c>
      <c r="J47" s="22" t="s">
        <v>84</v>
      </c>
      <c r="L47" s="27"/>
      <c r="M47" s="27"/>
      <c r="N47" s="27"/>
      <c r="O47" s="27"/>
      <c r="P47" s="27"/>
      <c r="Q47" s="27"/>
      <c r="R47" s="27"/>
      <c r="S47" s="27"/>
      <c r="T47" s="27"/>
      <c r="U47" s="27"/>
      <c r="V47" s="27"/>
      <c r="W47" s="27"/>
      <c r="X47" s="27"/>
      <c r="Y47" s="27"/>
    </row>
    <row r="48" ht="16.5" customHeight="1">
      <c r="A48" s="28" t="s">
        <v>192</v>
      </c>
      <c r="B48" s="29" t="s">
        <v>193</v>
      </c>
      <c r="C48" s="29" t="s">
        <v>145</v>
      </c>
      <c r="D48" s="30" t="s">
        <v>83</v>
      </c>
      <c r="E48" s="31">
        <v>46339.0</v>
      </c>
      <c r="F48" s="31">
        <v>46339.0</v>
      </c>
      <c r="G48" s="28">
        <f t="shared" si="2"/>
        <v>1</v>
      </c>
      <c r="H48" s="32">
        <v>0.0</v>
      </c>
      <c r="I48" s="28" t="str">
        <f>IF(H48&gt;=1,"Cumplido","Pendiente")</f>
        <v>Pendiente</v>
      </c>
      <c r="J48" s="28" t="s">
        <v>146</v>
      </c>
      <c r="L48" s="27"/>
      <c r="M48" s="27"/>
      <c r="N48" s="27"/>
      <c r="O48" s="27"/>
      <c r="P48" s="27"/>
      <c r="Q48" s="27"/>
      <c r="R48" s="27"/>
      <c r="S48" s="27"/>
      <c r="T48" s="27"/>
      <c r="U48" s="27"/>
      <c r="V48" s="27"/>
      <c r="W48" s="27"/>
      <c r="X48" s="27"/>
      <c r="Y48" s="27"/>
    </row>
    <row r="49" ht="15.75" customHeight="1"/>
    <row r="50" ht="15.75" customHeight="1">
      <c r="B50" s="33" t="s">
        <v>194</v>
      </c>
    </row>
    <row r="51" ht="15.75" customHeight="1">
      <c r="A51" s="34"/>
      <c r="B51" s="35" t="s">
        <v>195</v>
      </c>
    </row>
    <row r="52" ht="15.75" customHeight="1">
      <c r="A52" s="36"/>
      <c r="B52" s="35" t="s">
        <v>196</v>
      </c>
    </row>
    <row r="53" ht="15.75" customHeight="1">
      <c r="A53" s="37"/>
      <c r="B53" s="35" t="s">
        <v>197</v>
      </c>
    </row>
    <row r="54" ht="15.75" customHeight="1">
      <c r="A54" s="38"/>
      <c r="B54" s="35" t="s">
        <v>198</v>
      </c>
    </row>
    <row r="55" ht="15.75" customHeight="1"/>
    <row r="56" ht="15.75" customHeight="1">
      <c r="B56" s="33"/>
    </row>
    <row r="57" ht="15.75" customHeight="1">
      <c r="B57" s="39"/>
    </row>
    <row r="58" ht="15.75" customHeight="1">
      <c r="B58" s="39"/>
    </row>
    <row r="59" ht="15.75" customHeight="1">
      <c r="B59" s="39"/>
    </row>
    <row r="60" ht="15.75" customHeight="1">
      <c r="B60" s="39"/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8">
    <mergeCell ref="F3:G3"/>
    <mergeCell ref="A5:A7"/>
    <mergeCell ref="B5:B7"/>
    <mergeCell ref="C5:C7"/>
    <mergeCell ref="D5:D7"/>
    <mergeCell ref="E5:E7"/>
    <mergeCell ref="F5:F7"/>
    <mergeCell ref="R5:S5"/>
    <mergeCell ref="T5:U5"/>
    <mergeCell ref="V5:W5"/>
    <mergeCell ref="X5:Y5"/>
    <mergeCell ref="G5:G7"/>
    <mergeCell ref="H5:H7"/>
    <mergeCell ref="I5:I7"/>
    <mergeCell ref="J5:J7"/>
    <mergeCell ref="L5:M5"/>
    <mergeCell ref="N5:O5"/>
    <mergeCell ref="P5:Q5"/>
  </mergeCells>
  <conditionalFormatting sqref="L8:Y48">
    <cfRule type="expression" dxfId="0" priority="1">
      <formula>AND($J8="H",$E8&gt;=L$7,$E8&lt;=L$7+6)</formula>
    </cfRule>
  </conditionalFormatting>
  <conditionalFormatting sqref="L8:Y48">
    <cfRule type="expression" dxfId="1" priority="2">
      <formula>AND($J8="F",$E8&lt;=L$7+6,$F8&gt;=L$7)</formula>
    </cfRule>
  </conditionalFormatting>
  <conditionalFormatting sqref="L8:Y48">
    <cfRule type="expression" dxfId="2" priority="3">
      <formula>AND($J8="T",$E8&lt;=L$7+6,$F8&gt;=L$7,$H8&gt;0,L$7&lt;=$E8+ROUND($G8*$H8,0)-1)</formula>
    </cfRule>
  </conditionalFormatting>
  <conditionalFormatting sqref="L8:Y48">
    <cfRule type="expression" dxfId="3" priority="4">
      <formula>AND($J8="T",$E8&lt;=L$7+6,$F8&gt;=L$7)</formula>
    </cfRule>
  </conditionalFormatting>
  <conditionalFormatting sqref="I8:I48">
    <cfRule type="expression" dxfId="4" priority="5">
      <formula>$I8="Completado"</formula>
    </cfRule>
  </conditionalFormatting>
  <conditionalFormatting sqref="I8:I48">
    <cfRule type="expression" dxfId="4" priority="6">
      <formula>$I8="Cumplido"</formula>
    </cfRule>
  </conditionalFormatting>
  <conditionalFormatting sqref="I8:I48">
    <cfRule type="expression" dxfId="5" priority="7">
      <formula>$I8="En curso"</formula>
    </cfRule>
  </conditionalFormatting>
  <printOptions/>
  <pageMargins bottom="1.0" footer="0.0" header="0.0" left="0.75" right="0.75" top="1.0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14.0"/>
    <col customWidth="1" min="2" max="2" width="34.0"/>
    <col customWidth="1" min="3" max="3" width="58.0"/>
    <col customWidth="1" min="4" max="4" width="10.0"/>
    <col customWidth="1" min="5" max="26" width="8.71"/>
  </cols>
  <sheetData>
    <row r="1">
      <c r="A1" s="1" t="s">
        <v>0</v>
      </c>
    </row>
    <row r="3">
      <c r="A3" s="4" t="s">
        <v>4</v>
      </c>
      <c r="B3" s="4" t="s">
        <v>5</v>
      </c>
      <c r="C3" s="4" t="s">
        <v>6</v>
      </c>
      <c r="D3" s="4" t="s">
        <v>7</v>
      </c>
    </row>
    <row r="4">
      <c r="A4" s="6" t="s">
        <v>8</v>
      </c>
      <c r="B4" s="6" t="s">
        <v>9</v>
      </c>
      <c r="C4" s="6" t="s">
        <v>11</v>
      </c>
      <c r="D4" s="8">
        <v>1.0</v>
      </c>
    </row>
    <row r="5">
      <c r="A5" s="6" t="s">
        <v>8</v>
      </c>
      <c r="B5" s="6" t="s">
        <v>12</v>
      </c>
      <c r="C5" s="6" t="s">
        <v>13</v>
      </c>
      <c r="D5" s="8">
        <v>1.0</v>
      </c>
    </row>
    <row r="6">
      <c r="A6" s="6" t="s">
        <v>8</v>
      </c>
      <c r="B6" s="6" t="s">
        <v>14</v>
      </c>
      <c r="C6" s="6" t="s">
        <v>15</v>
      </c>
      <c r="D6" s="8">
        <v>1.0</v>
      </c>
    </row>
    <row r="7">
      <c r="A7" s="6" t="s">
        <v>8</v>
      </c>
      <c r="B7" s="6" t="s">
        <v>16</v>
      </c>
      <c r="C7" s="6" t="s">
        <v>17</v>
      </c>
      <c r="D7" s="8">
        <v>1.0</v>
      </c>
    </row>
    <row r="8">
      <c r="A8" s="6" t="s">
        <v>8</v>
      </c>
      <c r="B8" s="6" t="s">
        <v>18</v>
      </c>
      <c r="C8" s="6" t="s">
        <v>19</v>
      </c>
      <c r="D8" s="8">
        <v>1.0</v>
      </c>
    </row>
    <row r="9">
      <c r="A9" s="6" t="s">
        <v>8</v>
      </c>
      <c r="B9" s="6" t="s">
        <v>20</v>
      </c>
      <c r="C9" s="6" t="s">
        <v>21</v>
      </c>
      <c r="D9" s="8">
        <v>2.0</v>
      </c>
    </row>
    <row r="10">
      <c r="A10" s="6" t="s">
        <v>8</v>
      </c>
      <c r="B10" s="6" t="s">
        <v>22</v>
      </c>
      <c r="C10" s="6" t="s">
        <v>23</v>
      </c>
      <c r="D10" s="8">
        <v>1.0</v>
      </c>
    </row>
    <row r="11">
      <c r="A11" s="6" t="s">
        <v>8</v>
      </c>
      <c r="B11" s="6" t="s">
        <v>24</v>
      </c>
      <c r="C11" s="6" t="s">
        <v>25</v>
      </c>
      <c r="D11" s="8">
        <v>2.0</v>
      </c>
    </row>
    <row r="12">
      <c r="A12" s="6" t="s">
        <v>8</v>
      </c>
      <c r="B12" s="6" t="s">
        <v>26</v>
      </c>
      <c r="C12" s="6" t="s">
        <v>27</v>
      </c>
      <c r="D12" s="8">
        <v>2.0</v>
      </c>
    </row>
    <row r="13">
      <c r="A13" s="6" t="s">
        <v>8</v>
      </c>
      <c r="B13" s="6" t="s">
        <v>28</v>
      </c>
      <c r="C13" s="6" t="s">
        <v>29</v>
      </c>
      <c r="D13" s="8">
        <v>1.0</v>
      </c>
    </row>
    <row r="14">
      <c r="A14" s="6" t="s">
        <v>8</v>
      </c>
      <c r="B14" s="6" t="s">
        <v>30</v>
      </c>
      <c r="C14" s="6" t="s">
        <v>31</v>
      </c>
      <c r="D14" s="8">
        <v>1.0</v>
      </c>
    </row>
    <row r="15">
      <c r="A15" s="6" t="s">
        <v>8</v>
      </c>
      <c r="B15" s="6" t="s">
        <v>32</v>
      </c>
      <c r="C15" s="6" t="s">
        <v>33</v>
      </c>
      <c r="D15" s="8">
        <v>1.0</v>
      </c>
    </row>
    <row r="16">
      <c r="A16" s="6" t="s">
        <v>34</v>
      </c>
      <c r="B16" s="6" t="s">
        <v>35</v>
      </c>
      <c r="C16" s="6" t="s">
        <v>36</v>
      </c>
      <c r="D16" s="8" t="s">
        <v>37</v>
      </c>
    </row>
    <row r="17">
      <c r="A17" s="6" t="s">
        <v>34</v>
      </c>
      <c r="B17" s="6" t="s">
        <v>38</v>
      </c>
      <c r="C17" s="6" t="s">
        <v>39</v>
      </c>
      <c r="D17" s="8" t="s">
        <v>37</v>
      </c>
    </row>
    <row r="18">
      <c r="A18" s="6" t="s">
        <v>34</v>
      </c>
      <c r="B18" s="6" t="s">
        <v>40</v>
      </c>
      <c r="C18" s="6" t="s">
        <v>41</v>
      </c>
      <c r="D18" s="8" t="s">
        <v>37</v>
      </c>
    </row>
    <row r="19">
      <c r="A19" s="6" t="s">
        <v>34</v>
      </c>
      <c r="B19" s="6" t="s">
        <v>42</v>
      </c>
      <c r="C19" s="6" t="s">
        <v>43</v>
      </c>
      <c r="D19" s="8" t="s">
        <v>37</v>
      </c>
    </row>
    <row r="20">
      <c r="A20" s="6" t="s">
        <v>44</v>
      </c>
      <c r="B20" s="6" t="s">
        <v>45</v>
      </c>
      <c r="C20" s="6" t="s">
        <v>46</v>
      </c>
      <c r="D20" s="8">
        <v>1.0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paperSize="9" orientation="portrait"/>
  <drawing r:id="rId1"/>
</worksheet>
</file>